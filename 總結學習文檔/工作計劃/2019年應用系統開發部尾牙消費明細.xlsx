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340" activeTab="2"/>
  </bookViews>
  <sheets>
    <sheet name="方案" sheetId="1" r:id="rId1"/>
    <sheet name="收入" sheetId="3" r:id="rId2"/>
    <sheet name="開支" sheetId="2" r:id="rId3"/>
  </sheets>
  <calcPr calcId="152511"/>
</workbook>
</file>

<file path=xl/calcChain.xml><?xml version="1.0" encoding="utf-8"?>
<calcChain xmlns="http://schemas.openxmlformats.org/spreadsheetml/2006/main">
  <c r="F36" i="2" l="1"/>
  <c r="F37" i="2" l="1"/>
  <c r="L21" i="2" l="1"/>
  <c r="D36" i="2" l="1"/>
  <c r="D4" i="2"/>
  <c r="F20" i="3"/>
  <c r="E20" i="3"/>
  <c r="D37" i="2" l="1"/>
</calcChain>
</file>

<file path=xl/sharedStrings.xml><?xml version="1.0" encoding="utf-8"?>
<sst xmlns="http://schemas.openxmlformats.org/spreadsheetml/2006/main" count="285" uniqueCount="177">
  <si>
    <t>名稱</t>
    <phoneticPr fontId="1" type="noConversion"/>
  </si>
  <si>
    <t>地點</t>
    <phoneticPr fontId="1" type="noConversion"/>
  </si>
  <si>
    <t>設備</t>
    <phoneticPr fontId="1" type="noConversion"/>
  </si>
  <si>
    <t>時間價格</t>
    <phoneticPr fontId="1" type="noConversion"/>
  </si>
  <si>
    <t>備註</t>
    <phoneticPr fontId="1" type="noConversion"/>
  </si>
  <si>
    <t>廊坊市广阳区新世纪步行街
第二大街南外街A座27号</t>
    <phoneticPr fontId="1" type="noConversion"/>
  </si>
  <si>
    <t xml:space="preserve">廊坊市开发区祥云道
108号翠林洲别墅区1号别墅 
</t>
    <phoneticPr fontId="1" type="noConversion"/>
  </si>
  <si>
    <t>酷凡空间轰趴馆
17731616406</t>
    <phoneticPr fontId="1" type="noConversion"/>
  </si>
  <si>
    <t>時光裡
18730694434</t>
    <phoneticPr fontId="1" type="noConversion"/>
  </si>
  <si>
    <t>轰趴格局：上下楼两层，装修分格小美风，一楼有会议桌（即餐桌）,桌球，飞镖罗盘，大型体感游戏机，拳皇游戏机，儿童拍拍乐，美甲DIY，装修时尚温馨。二楼有KTV单独中包，独立厨房，
独立卫生间，桌上足球，独立卧室。
吃饭形式：大家DIY,自己动手做饭，您只需要自己带食材就可以，我们提供火锅，呷哺锅底，呷哺蘸料，和您在呷哺实体店吃到的味道一样
周边配套设施：停车位免费，近500米有大型明珠超市，采购方便</t>
    <phoneticPr fontId="1" type="noConversion"/>
  </si>
  <si>
    <t>1314别墅轰趴
19931311149</t>
    <phoneticPr fontId="1" type="noConversion"/>
  </si>
  <si>
    <t>华祥路79号</t>
    <phoneticPr fontId="1" type="noConversion"/>
  </si>
  <si>
    <t>免费提供5瓶啤酒，如需炒菜清理费+调料费100元，火锅清理费100元，烤肉清理费100元。以上均提供一次性餐具，超出上限人数每一人加20元
提前一天預約</t>
    <phoneticPr fontId="1" type="noConversion"/>
  </si>
  <si>
    <t>①专业豪华KTV包房、热门曲库麦霸不停；
②豪华桌球、高尔夫、桌上足球；让你展现精湛技艺；
③齐全的厨房设备，让你在小伙伴面前尽显厨艺；
④电脑设备（高速五黑房）；
⑤X-BOX 大屏幕体感游戏机，玩过瘾；
⑥自动麻将桌雀神之争，海量棋牌桌游考验智商RP；
⑦独栋别墅，内含：休息室 
⑧高速 WI-FI，无死角覆盖；24小时热水；观景茶室；等等...
厨房设施：
设备：菜板/各类刀具/电磁炉/炒锅/蒸锅/涮锅/冰箱/电水壶。佐料（油盐酱醋）</t>
    <phoneticPr fontId="1" type="noConversion"/>
  </si>
  <si>
    <t>自由空間轟趴
18531818699</t>
    <phoneticPr fontId="1" type="noConversion"/>
  </si>
  <si>
    <t xml:space="preserve">
五大街秀水購物廣場西側</t>
    <phoneticPr fontId="1" type="noConversion"/>
  </si>
  <si>
    <t>只提供上述設備，做飯無需自行收拾
周邊有超市，停車需要提前告知有多少輛。
需要提前預定,500定金 ，可以提前約看
目前12-15還無人預約</t>
    <phoneticPr fontId="1" type="noConversion"/>
  </si>
  <si>
    <r>
      <rPr>
        <sz val="12"/>
        <color rgb="FF666666"/>
        <rFont val="MingLiU"/>
        <family val="3"/>
        <charset val="136"/>
      </rPr>
      <t>仅售</t>
    </r>
    <r>
      <rPr>
        <b/>
        <sz val="12"/>
        <color rgb="FFFF0000"/>
        <rFont val="Arial"/>
        <family val="2"/>
      </rPr>
      <t>968</t>
    </r>
    <r>
      <rPr>
        <sz val="12"/>
        <color rgb="FF666666"/>
        <rFont val="MingLiU"/>
        <family val="3"/>
        <charset val="136"/>
      </rPr>
      <t>元，价值</t>
    </r>
    <r>
      <rPr>
        <sz val="12"/>
        <color rgb="FF666666"/>
        <rFont val="Arial"/>
        <family val="2"/>
      </rPr>
      <t>1088</t>
    </r>
    <r>
      <rPr>
        <sz val="12"/>
        <color rgb="FF666666"/>
        <rFont val="MingLiU"/>
        <family val="3"/>
        <charset val="136"/>
      </rPr>
      <t>元</t>
    </r>
    <r>
      <rPr>
        <b/>
        <sz val="12"/>
        <color rgb="FFFF0000"/>
        <rFont val="Arial"/>
        <family val="2"/>
      </rPr>
      <t>15</t>
    </r>
    <r>
      <rPr>
        <sz val="12"/>
        <color rgb="FF666666"/>
        <rFont val="MingLiU"/>
        <family val="3"/>
        <charset val="136"/>
      </rPr>
      <t>人轰趴（</t>
    </r>
    <r>
      <rPr>
        <b/>
        <sz val="12"/>
        <color rgb="FFFF0000"/>
        <rFont val="Arial"/>
        <family val="2"/>
      </rPr>
      <t>12:00--24:00</t>
    </r>
    <r>
      <rPr>
        <sz val="12"/>
        <color rgb="FF666666"/>
        <rFont val="MingLiU"/>
        <family val="3"/>
        <charset val="136"/>
      </rPr>
      <t>），免费</t>
    </r>
    <r>
      <rPr>
        <sz val="12"/>
        <color rgb="FF666666"/>
        <rFont val="Arial"/>
        <family val="2"/>
      </rPr>
      <t>WiFi</t>
    </r>
    <r>
      <rPr>
        <sz val="12"/>
        <color rgb="FF666666"/>
        <rFont val="MingLiU"/>
        <family val="3"/>
        <charset val="136"/>
      </rPr>
      <t xml:space="preserve">！免费停车位！
</t>
    </r>
    <r>
      <rPr>
        <b/>
        <sz val="12"/>
        <color rgb="FFFF0000"/>
        <rFont val="MingLiU"/>
        <family val="3"/>
        <charset val="136"/>
      </rPr>
      <t>總計</t>
    </r>
    <r>
      <rPr>
        <b/>
        <sz val="12"/>
        <color rgb="FFFF0000"/>
        <rFont val="Arial"/>
        <family val="2"/>
      </rPr>
      <t>150</t>
    </r>
    <r>
      <rPr>
        <b/>
        <sz val="12"/>
        <color rgb="FFFF0000"/>
        <rFont val="MingLiU"/>
        <family val="3"/>
        <charset val="136"/>
      </rPr>
      <t>平米，</t>
    </r>
    <r>
      <rPr>
        <b/>
        <sz val="12"/>
        <color rgb="FFFF0000"/>
        <rFont val="Arial"/>
        <family val="2"/>
      </rPr>
      <t>20</t>
    </r>
    <r>
      <rPr>
        <b/>
        <sz val="12"/>
        <color rgb="FFFF0000"/>
        <rFont val="MingLiU"/>
        <family val="3"/>
        <charset val="136"/>
      </rPr>
      <t>多人有點擁擠。</t>
    </r>
    <r>
      <rPr>
        <sz val="12"/>
        <color rgb="FF666666"/>
        <rFont val="MingLiU"/>
        <family val="3"/>
        <charset val="136"/>
      </rPr>
      <t xml:space="preserve">
大眾點評</t>
    </r>
    <phoneticPr fontId="1" type="noConversion"/>
  </si>
  <si>
    <t>需提前預約 ，定金500</t>
    <phoneticPr fontId="1" type="noConversion"/>
  </si>
  <si>
    <r>
      <t>基礎套餐：</t>
    </r>
    <r>
      <rPr>
        <b/>
        <sz val="11"/>
        <color rgb="FFFF0000"/>
        <rFont val="新細明體"/>
        <family val="1"/>
        <scheme val="minor"/>
      </rPr>
      <t>8</t>
    </r>
    <r>
      <rPr>
        <sz val="11"/>
        <color theme="1"/>
        <rFont val="新細明體"/>
        <family val="2"/>
        <scheme val="minor"/>
      </rPr>
      <t>小時</t>
    </r>
    <r>
      <rPr>
        <b/>
        <sz val="11"/>
        <color rgb="FFFF0000"/>
        <rFont val="新細明體"/>
        <family val="1"/>
        <scheme val="minor"/>
      </rPr>
      <t>1680</t>
    </r>
    <r>
      <rPr>
        <sz val="11"/>
        <color theme="1"/>
        <rFont val="新細明體"/>
        <family val="2"/>
        <scheme val="minor"/>
      </rPr>
      <t xml:space="preserve"> 元
多出時間200元/時
人數不限三層總共300多平米
</t>
    </r>
    <r>
      <rPr>
        <b/>
        <sz val="11"/>
        <color rgb="FFFF0000"/>
        <rFont val="新細明體"/>
        <family val="1"/>
        <scheme val="minor"/>
      </rPr>
      <t>無餐具費用，無VR</t>
    </r>
    <r>
      <rPr>
        <sz val="11"/>
        <color theme="1"/>
        <rFont val="新細明體"/>
        <family val="2"/>
        <scheme val="minor"/>
      </rPr>
      <t xml:space="preserve">
段專提供的鏈接</t>
    </r>
    <phoneticPr fontId="1" type="noConversion"/>
  </si>
  <si>
    <t xml:space="preserve">一樓：投影儀VR遊戲，Xbox體感遊戲機，台球室，獨立廚房，提供廚房用具，基礎調料，獨立用餐大廳
二樓：KTV，電影房，茶室，麻將室，棋牌室
三樓：兩個休息室，電腦設備室
餐具費 10/人  火鍋用具 20/套【能減免】，氣罐爐
</t>
    <phoneticPr fontId="1" type="noConversion"/>
  </si>
  <si>
    <t xml:space="preserve">一樓：開放用餐大廳配有投影儀，檯球，VR，XBox，遊戲機，奶茶機，獨立廚房，提供廚房用戶，基礎調料，能燒烤，用的是電火鍋
二樓：KTV ，茶室，麻將室，棋牌室，休息室，狼人殺遊戲室
</t>
    <phoneticPr fontId="1" type="noConversion"/>
  </si>
  <si>
    <r>
      <rPr>
        <sz val="11"/>
        <rFont val="新細明體"/>
        <family val="1"/>
        <scheme val="minor"/>
      </rPr>
      <t>方案一：六小時1880 套餐，超出 300/小時  100廚房使用費用。 20人標準收費，超出80/人。
按照八小時計算是2580元</t>
    </r>
    <r>
      <rPr>
        <sz val="11"/>
        <color theme="1"/>
        <rFont val="新細明體"/>
        <family val="2"/>
        <scheme val="minor"/>
      </rPr>
      <t xml:space="preserve">
</t>
    </r>
    <r>
      <rPr>
        <b/>
        <sz val="11"/>
        <color rgb="FFFF0000"/>
        <rFont val="新細明體"/>
        <family val="1"/>
        <scheme val="minor"/>
      </rPr>
      <t>方案二：2600元 12:00-24:00 +100廚房使用費=2700元，目前商家說是23人，超出23人的部分80/人。 總費用2600+100=2700 送雪花勇闖天涯2箱【550ml大瓶】+2L飲料</t>
    </r>
    <phoneticPr fontId="1" type="noConversion"/>
  </si>
  <si>
    <t>牛肉片</t>
    <phoneticPr fontId="1" type="noConversion"/>
  </si>
  <si>
    <t>羊肉片</t>
    <phoneticPr fontId="1" type="noConversion"/>
  </si>
  <si>
    <t>肉類</t>
    <phoneticPr fontId="1" type="noConversion"/>
  </si>
  <si>
    <t>生菜</t>
    <phoneticPr fontId="1" type="noConversion"/>
  </si>
  <si>
    <t>茼蒿菜</t>
    <phoneticPr fontId="1" type="noConversion"/>
  </si>
  <si>
    <t>油麦菜</t>
    <phoneticPr fontId="1" type="noConversion"/>
  </si>
  <si>
    <t>金针菇</t>
    <phoneticPr fontId="1" type="noConversion"/>
  </si>
  <si>
    <t>蔬菜类</t>
    <phoneticPr fontId="1" type="noConversion"/>
  </si>
  <si>
    <t>萝卜</t>
    <phoneticPr fontId="1" type="noConversion"/>
  </si>
  <si>
    <t>土豆</t>
    <phoneticPr fontId="1" type="noConversion"/>
  </si>
  <si>
    <t>香菜</t>
    <phoneticPr fontId="1" type="noConversion"/>
  </si>
  <si>
    <t>娃娃菜大白菜</t>
    <phoneticPr fontId="1" type="noConversion"/>
  </si>
  <si>
    <t>菠菜</t>
    <phoneticPr fontId="1" type="noConversion"/>
  </si>
  <si>
    <t>木耳</t>
    <phoneticPr fontId="1" type="noConversion"/>
  </si>
  <si>
    <t>胡萝卜</t>
    <phoneticPr fontId="1" type="noConversion"/>
  </si>
  <si>
    <t>藕</t>
    <phoneticPr fontId="1" type="noConversion"/>
  </si>
  <si>
    <t>烤鸭</t>
    <phoneticPr fontId="1" type="noConversion"/>
  </si>
  <si>
    <t>主食</t>
    <phoneticPr fontId="1" type="noConversion"/>
  </si>
  <si>
    <t>粉丝/宽粉</t>
    <phoneticPr fontId="1" type="noConversion"/>
  </si>
  <si>
    <t>红薯片</t>
    <phoneticPr fontId="1" type="noConversion"/>
  </si>
  <si>
    <t>豆腐</t>
    <phoneticPr fontId="1" type="noConversion"/>
  </si>
  <si>
    <t>面条</t>
    <phoneticPr fontId="1" type="noConversion"/>
  </si>
  <si>
    <t xml:space="preserve">酒水 </t>
    <phoneticPr fontId="1" type="noConversion"/>
  </si>
  <si>
    <t>魚</t>
    <phoneticPr fontId="1" type="noConversion"/>
  </si>
  <si>
    <t>毛豆，花生，糖蒜</t>
    <phoneticPr fontId="1" type="noConversion"/>
  </si>
  <si>
    <t>其他熟食：炸鸡块</t>
    <phoneticPr fontId="1" type="noConversion"/>
  </si>
  <si>
    <t>拼盤類</t>
    <phoneticPr fontId="1" type="noConversion"/>
  </si>
  <si>
    <t>火鍋類</t>
    <phoneticPr fontId="1" type="noConversion"/>
  </si>
  <si>
    <t>一把配料</t>
    <phoneticPr fontId="1" type="noConversion"/>
  </si>
  <si>
    <t>花蛤4斤*5+調料10元</t>
    <phoneticPr fontId="1" type="noConversion"/>
  </si>
  <si>
    <t>火鍋蘸料</t>
    <phoneticPr fontId="1" type="noConversion"/>
  </si>
  <si>
    <t>三條鯉魚8元/斤，每個二斤半左右</t>
    <phoneticPr fontId="1" type="noConversion"/>
  </si>
  <si>
    <t>四兜麵條</t>
    <phoneticPr fontId="1" type="noConversion"/>
  </si>
  <si>
    <t>4斤*35元</t>
    <phoneticPr fontId="1" type="noConversion"/>
  </si>
  <si>
    <t>4斤*38元</t>
    <phoneticPr fontId="1" type="noConversion"/>
  </si>
  <si>
    <t>2斤*4元</t>
    <phoneticPr fontId="1" type="noConversion"/>
  </si>
  <si>
    <t>2斤*4元</t>
    <phoneticPr fontId="1" type="noConversion"/>
  </si>
  <si>
    <t>2斤*3.5元</t>
    <phoneticPr fontId="1" type="noConversion"/>
  </si>
  <si>
    <t>3斤*2元</t>
    <phoneticPr fontId="1" type="noConversion"/>
  </si>
  <si>
    <t>一根 4斤 1.5元</t>
    <phoneticPr fontId="1" type="noConversion"/>
  </si>
  <si>
    <t>4斤*1.5元</t>
    <phoneticPr fontId="1" type="noConversion"/>
  </si>
  <si>
    <t>兩包娃娃菜</t>
    <phoneticPr fontId="1" type="noConversion"/>
  </si>
  <si>
    <t>半斤 20元/斤</t>
    <phoneticPr fontId="1" type="noConversion"/>
  </si>
  <si>
    <t>2斤 3.5元</t>
    <phoneticPr fontId="1" type="noConversion"/>
  </si>
  <si>
    <t>2斤 5元</t>
    <phoneticPr fontId="1" type="noConversion"/>
  </si>
  <si>
    <t>四包寬粉2.5/包</t>
    <phoneticPr fontId="1" type="noConversion"/>
  </si>
  <si>
    <t>2斤 *2.5元</t>
    <phoneticPr fontId="1" type="noConversion"/>
  </si>
  <si>
    <t>火鍋料</t>
    <phoneticPr fontId="1" type="noConversion"/>
  </si>
  <si>
    <t>總人數：20  5人/鍋   共4個火鍋</t>
    <phoneticPr fontId="1" type="noConversion"/>
  </si>
  <si>
    <t>提前1天预约
每张团购券最多20人使用
火鍋氣罐設備使用已經協商免費</t>
    <phoneticPr fontId="1" type="noConversion"/>
  </si>
  <si>
    <t>F2806229</t>
  </si>
  <si>
    <t>朱優良</t>
  </si>
  <si>
    <t>師9</t>
  </si>
  <si>
    <t>資深副理</t>
  </si>
  <si>
    <t>F3205780</t>
  </si>
  <si>
    <t>查志勇</t>
  </si>
  <si>
    <t>師8</t>
  </si>
  <si>
    <t>資深專理</t>
  </si>
  <si>
    <t>F2842587</t>
  </si>
  <si>
    <t>段會峰</t>
  </si>
  <si>
    <t>師7</t>
  </si>
  <si>
    <t>專理</t>
  </si>
  <si>
    <t>F2842854</t>
  </si>
  <si>
    <t>喻再平</t>
  </si>
  <si>
    <t>師5</t>
  </si>
  <si>
    <t>無</t>
  </si>
  <si>
    <t>F6195240</t>
  </si>
  <si>
    <t>邊大濤</t>
  </si>
  <si>
    <t>H0528988</t>
  </si>
  <si>
    <t>徐雪潔</t>
  </si>
  <si>
    <t>H0532436</t>
  </si>
  <si>
    <t>房新歌</t>
  </si>
  <si>
    <t>師4</t>
  </si>
  <si>
    <t>H0533811</t>
  </si>
  <si>
    <t>李平</t>
  </si>
  <si>
    <t>H0535030</t>
  </si>
  <si>
    <t>丁艷鳳</t>
  </si>
  <si>
    <t>H0594499</t>
  </si>
  <si>
    <t>李振</t>
  </si>
  <si>
    <t>師3</t>
  </si>
  <si>
    <t>H0531366</t>
  </si>
  <si>
    <t>李偉光</t>
  </si>
  <si>
    <t>H0635467</t>
  </si>
  <si>
    <t>張雪梅</t>
  </si>
  <si>
    <t>H0755830</t>
  </si>
  <si>
    <t>韓文仙</t>
  </si>
  <si>
    <t>H0758088</t>
  </si>
  <si>
    <t>李冊</t>
  </si>
  <si>
    <t>師2</t>
  </si>
  <si>
    <t>H0758115</t>
  </si>
  <si>
    <t>郭娟娟</t>
  </si>
  <si>
    <t>H0766838</t>
  </si>
  <si>
    <t>徐寧寧</t>
  </si>
  <si>
    <t>H0673663</t>
  </si>
  <si>
    <t>張冉</t>
  </si>
  <si>
    <t>H0689195</t>
  </si>
  <si>
    <t>郝運</t>
  </si>
  <si>
    <t>員2</t>
  </si>
  <si>
    <t>工號</t>
    <phoneticPr fontId="1" type="noConversion"/>
  </si>
  <si>
    <t>姓名</t>
    <phoneticPr fontId="1" type="noConversion"/>
  </si>
  <si>
    <t>資位</t>
    <phoneticPr fontId="1" type="noConversion"/>
  </si>
  <si>
    <t>職位</t>
    <phoneticPr fontId="1" type="noConversion"/>
  </si>
  <si>
    <t>贊助金額</t>
    <phoneticPr fontId="1" type="noConversion"/>
  </si>
  <si>
    <t>備註</t>
    <phoneticPr fontId="1" type="noConversion"/>
  </si>
  <si>
    <t>合計</t>
    <phoneticPr fontId="1" type="noConversion"/>
  </si>
  <si>
    <t>是否帶家屬</t>
    <phoneticPr fontId="1" type="noConversion"/>
  </si>
  <si>
    <t>是</t>
    <phoneticPr fontId="1" type="noConversion"/>
  </si>
  <si>
    <t>場地</t>
    <phoneticPr fontId="1" type="noConversion"/>
  </si>
  <si>
    <t>廚房費用</t>
    <phoneticPr fontId="1" type="noConversion"/>
  </si>
  <si>
    <t>場地費用</t>
    <phoneticPr fontId="1" type="noConversion"/>
  </si>
  <si>
    <t>包括衛生費等</t>
    <phoneticPr fontId="1" type="noConversion"/>
  </si>
  <si>
    <t>小計</t>
    <phoneticPr fontId="1" type="noConversion"/>
  </si>
  <si>
    <t>注：
菜價每天都有浮動，具體以當時實際菜價為準，多少會有浮動
辣料可以換成大塊的那種，一塊25 可以節省23塊</t>
    <phoneticPr fontId="1" type="noConversion"/>
  </si>
  <si>
    <t>零食</t>
    <phoneticPr fontId="1" type="noConversion"/>
  </si>
  <si>
    <t>花生、瓜子、爆米花等</t>
    <phoneticPr fontId="1" type="noConversion"/>
  </si>
  <si>
    <t>適量</t>
    <phoneticPr fontId="1" type="noConversion"/>
  </si>
  <si>
    <t>根據情況增補</t>
    <phoneticPr fontId="1" type="noConversion"/>
  </si>
  <si>
    <r>
      <t xml:space="preserve">2600元 12小時【12:00-24:00】 20人限制,多出人數139元/人，如果使用廚房 10元/人 總費用2600+200=2800
</t>
    </r>
    <r>
      <rPr>
        <b/>
        <sz val="11"/>
        <color rgb="FFFF0000"/>
        <rFont val="新細明體"/>
        <family val="1"/>
        <charset val="136"/>
        <scheme val="minor"/>
      </rPr>
      <t>2019年12月15日【12:00-24:00】</t>
    </r>
    <phoneticPr fontId="1" type="noConversion"/>
  </si>
  <si>
    <t>大蝦 已付40+花蛤+調料</t>
    <phoneticPr fontId="1" type="noConversion"/>
  </si>
  <si>
    <t>2*38 +輔料</t>
    <phoneticPr fontId="1" type="noConversion"/>
  </si>
  <si>
    <t>白酒：稻花香52度，39一瓶；長城紅酒二瓶72； 加多寶24瓶68；果粒橙12小瓶22；小百事12瓶18；礦泉水24瓶26</t>
    <phoneticPr fontId="1" type="noConversion"/>
  </si>
  <si>
    <t>京東網購，券后價格（含運費）</t>
    <phoneticPr fontId="1" type="noConversion"/>
  </si>
  <si>
    <t>3斤*6元</t>
    <phoneticPr fontId="1" type="noConversion"/>
  </si>
  <si>
    <t>海底捞 麻辣/菌湯2  8*12=50</t>
    <phoneticPr fontId="1" type="noConversion"/>
  </si>
  <si>
    <t>實際消費</t>
    <phoneticPr fontId="1" type="noConversion"/>
  </si>
  <si>
    <t>火腿+肉凍子</t>
    <phoneticPr fontId="1" type="noConversion"/>
  </si>
  <si>
    <t>麻醬2+大宇10+老乾媽+豆腐乳30+10+15+10</t>
    <phoneticPr fontId="1" type="noConversion"/>
  </si>
  <si>
    <t>香菇</t>
    <phoneticPr fontId="1" type="noConversion"/>
  </si>
  <si>
    <t>豆皮</t>
    <phoneticPr fontId="1" type="noConversion"/>
  </si>
  <si>
    <t>30麻醬+4大宇+7.5老乾媽+6腐乳+3糖</t>
    <phoneticPr fontId="1" type="noConversion"/>
  </si>
  <si>
    <t>實際消費合計</t>
    <phoneticPr fontId="1" type="noConversion"/>
  </si>
  <si>
    <t>餐費小計</t>
    <phoneticPr fontId="1" type="noConversion"/>
  </si>
  <si>
    <t>草魚三條*6.8元/斤</t>
    <phoneticPr fontId="1" type="noConversion"/>
  </si>
  <si>
    <t>三兜麵條</t>
    <phoneticPr fontId="1" type="noConversion"/>
  </si>
  <si>
    <t>25元海底撈牛油塊+4包*11元菌湯料</t>
    <phoneticPr fontId="1" type="noConversion"/>
  </si>
  <si>
    <t>后羿腸20元+肉凍11元</t>
    <phoneticPr fontId="1" type="noConversion"/>
  </si>
  <si>
    <t>40元大蝦+20元花蛤+8元調料</t>
    <phoneticPr fontId="1" type="noConversion"/>
  </si>
  <si>
    <t>15元花生+8元糖蒜</t>
    <phoneticPr fontId="1" type="noConversion"/>
  </si>
  <si>
    <t>7元娃娃菜+3.3元大白菜</t>
    <phoneticPr fontId="1" type="noConversion"/>
  </si>
  <si>
    <t>3斤*30元</t>
    <phoneticPr fontId="1" type="noConversion"/>
  </si>
  <si>
    <t>5斤*35元</t>
    <phoneticPr fontId="1" type="noConversion"/>
  </si>
  <si>
    <t>3斤*10元</t>
    <phoneticPr fontId="1" type="noConversion"/>
  </si>
  <si>
    <t>10元焦糖+7五香+10瓜子混合+15花生+7花生米+18爆米花零食</t>
    <phoneticPr fontId="1" type="noConversion"/>
  </si>
  <si>
    <t>收款</t>
    <phoneticPr fontId="1" type="noConversion"/>
  </si>
  <si>
    <t>剩餘</t>
    <phoneticPr fontId="1" type="noConversion"/>
  </si>
  <si>
    <t>缺席退款100</t>
    <phoneticPr fontId="1" type="noConversion"/>
  </si>
  <si>
    <t>缺席退款50</t>
    <phoneticPr fontId="1" type="noConversion"/>
  </si>
  <si>
    <t>消費</t>
    <phoneticPr fontId="1" type="noConversion"/>
  </si>
  <si>
    <t>缺席退款100</t>
    <phoneticPr fontId="1" type="noConversion"/>
  </si>
  <si>
    <t>退款</t>
    <phoneticPr fontId="1" type="noConversion"/>
  </si>
  <si>
    <t>玉米</t>
    <phoneticPr fontId="1" type="noConversion"/>
  </si>
  <si>
    <t>各種涮丸子</t>
    <phoneticPr fontId="1" type="noConversion"/>
  </si>
  <si>
    <t>3斤*13元</t>
    <phoneticPr fontId="1" type="noConversion"/>
  </si>
  <si>
    <t>玉米，待定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</si>
</sst>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FF00"/>
      <name val="新細明體"/>
      <family val="2"/>
      <scheme val="minor"/>
    </font>
    <font>
      <sz val="11"/>
      <color rgb="FFFFFF00"/>
      <name val="新細明體"/>
      <family val="1"/>
      <scheme val="minor"/>
    </font>
    <font>
      <sz val="12"/>
      <color rgb="FF666666"/>
      <name val="Arial"/>
      <family val="2"/>
    </font>
    <font>
      <sz val="12"/>
      <color rgb="FF666666"/>
      <name val="MingLiU"/>
      <family val="3"/>
      <charset val="136"/>
    </font>
    <font>
      <b/>
      <sz val="12"/>
      <color rgb="FFFF0000"/>
      <name val="Arial"/>
      <family val="2"/>
    </font>
    <font>
      <b/>
      <sz val="11"/>
      <color rgb="FFFF0000"/>
      <name val="新細明體"/>
      <family val="1"/>
      <scheme val="minor"/>
    </font>
    <font>
      <b/>
      <sz val="12"/>
      <color rgb="FFFF0000"/>
      <name val="MingLiU"/>
      <family val="3"/>
      <charset val="136"/>
    </font>
    <font>
      <sz val="11"/>
      <color theme="1"/>
      <name val="新細明體"/>
      <family val="1"/>
      <scheme val="minor"/>
    </font>
    <font>
      <sz val="11"/>
      <name val="新細明體"/>
      <family val="1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B0F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2"/>
      <scheme val="minor"/>
    </font>
    <font>
      <b/>
      <sz val="11"/>
      <color rgb="FFFFFF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9" fillId="3" borderId="1" xfId="0" applyFont="1" applyFill="1" applyBorder="1" applyAlignment="1">
      <alignment wrapText="1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5" fillId="4" borderId="1" xfId="0" applyFont="1" applyFill="1" applyBorder="1" applyAlignment="1">
      <alignment horizontal="left"/>
    </xf>
    <xf numFmtId="0" fontId="16" fillId="4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17" fillId="2" borderId="1" xfId="0" applyFont="1" applyFill="1" applyBorder="1"/>
    <xf numFmtId="0" fontId="18" fillId="6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right"/>
    </xf>
    <xf numFmtId="0" fontId="0" fillId="5" borderId="0" xfId="0" applyFill="1"/>
    <xf numFmtId="0" fontId="16" fillId="4" borderId="9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56159</xdr:colOff>
      <xdr:row>4</xdr:row>
      <xdr:rowOff>216775</xdr:rowOff>
    </xdr:from>
    <xdr:to>
      <xdr:col>4</xdr:col>
      <xdr:colOff>5800725</xdr:colOff>
      <xdr:row>4</xdr:row>
      <xdr:rowOff>954673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6859" y="6493750"/>
          <a:ext cx="5744566" cy="737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3" sqref="B3"/>
    </sheetView>
  </sheetViews>
  <sheetFormatPr defaultRowHeight="15.75"/>
  <cols>
    <col min="1" max="1" width="21.85546875" customWidth="1"/>
    <col min="2" max="2" width="32.5703125" customWidth="1"/>
    <col min="3" max="3" width="64.85546875" customWidth="1"/>
    <col min="4" max="4" width="85.140625" customWidth="1"/>
    <col min="5" max="5" width="95.140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92.75" customHeight="1">
      <c r="A2" s="6" t="s">
        <v>8</v>
      </c>
      <c r="B2" s="6" t="s">
        <v>6</v>
      </c>
      <c r="C2" s="4" t="s">
        <v>13</v>
      </c>
      <c r="D2" s="7" t="s">
        <v>19</v>
      </c>
      <c r="E2" s="6" t="s">
        <v>16</v>
      </c>
    </row>
    <row r="3" spans="1:5" ht="126">
      <c r="A3" s="4" t="s">
        <v>7</v>
      </c>
      <c r="B3" s="4" t="s">
        <v>5</v>
      </c>
      <c r="C3" s="4" t="s">
        <v>9</v>
      </c>
      <c r="D3" s="5" t="s">
        <v>17</v>
      </c>
      <c r="E3" s="6" t="s">
        <v>12</v>
      </c>
    </row>
    <row r="4" spans="1:5" ht="94.5">
      <c r="A4" s="12" t="s">
        <v>10</v>
      </c>
      <c r="B4" s="13" t="s">
        <v>11</v>
      </c>
      <c r="C4" s="14" t="s">
        <v>20</v>
      </c>
      <c r="D4" s="18" t="s">
        <v>140</v>
      </c>
      <c r="E4" s="15" t="s">
        <v>72</v>
      </c>
    </row>
    <row r="5" spans="1:5" ht="153.75" customHeight="1">
      <c r="A5" s="4" t="s">
        <v>14</v>
      </c>
      <c r="B5" s="4" t="s">
        <v>15</v>
      </c>
      <c r="C5" s="4" t="s">
        <v>21</v>
      </c>
      <c r="D5" s="11" t="s">
        <v>22</v>
      </c>
      <c r="E5" s="4" t="s">
        <v>18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C30" sqref="C30"/>
    </sheetView>
  </sheetViews>
  <sheetFormatPr defaultRowHeight="15.75"/>
  <cols>
    <col min="1" max="1" width="10.140625" bestFit="1" customWidth="1"/>
    <col min="2" max="2" width="8.140625" bestFit="1" customWidth="1"/>
    <col min="4" max="4" width="10.28515625" bestFit="1" customWidth="1"/>
    <col min="5" max="5" width="12.28515625" customWidth="1"/>
    <col min="6" max="6" width="13.5703125" bestFit="1" customWidth="1"/>
    <col min="7" max="7" width="28.140625" customWidth="1"/>
  </cols>
  <sheetData>
    <row r="1" spans="1:7" s="17" customFormat="1" ht="26.25" customHeight="1">
      <c r="A1" s="16" t="s">
        <v>121</v>
      </c>
      <c r="B1" s="16" t="s">
        <v>122</v>
      </c>
      <c r="C1" s="16" t="s">
        <v>123</v>
      </c>
      <c r="D1" s="16" t="s">
        <v>124</v>
      </c>
      <c r="E1" s="16" t="s">
        <v>125</v>
      </c>
      <c r="F1" s="16" t="s">
        <v>128</v>
      </c>
      <c r="G1" s="16" t="s">
        <v>126</v>
      </c>
    </row>
    <row r="2" spans="1:7">
      <c r="A2" s="10" t="s">
        <v>73</v>
      </c>
      <c r="B2" s="10" t="s">
        <v>74</v>
      </c>
      <c r="C2" s="10" t="s">
        <v>75</v>
      </c>
      <c r="D2" s="10" t="s">
        <v>76</v>
      </c>
      <c r="E2" s="10">
        <v>1500</v>
      </c>
      <c r="F2" s="10"/>
      <c r="G2" s="10" t="s">
        <v>139</v>
      </c>
    </row>
    <row r="3" spans="1:7">
      <c r="A3" s="10" t="s">
        <v>77</v>
      </c>
      <c r="B3" s="10" t="s">
        <v>78</v>
      </c>
      <c r="C3" s="10" t="s">
        <v>79</v>
      </c>
      <c r="D3" s="10" t="s">
        <v>80</v>
      </c>
      <c r="E3" s="10">
        <v>800</v>
      </c>
      <c r="F3" s="10"/>
      <c r="G3" s="10" t="s">
        <v>139</v>
      </c>
    </row>
    <row r="4" spans="1:7">
      <c r="A4" s="10" t="s">
        <v>81</v>
      </c>
      <c r="B4" s="10" t="s">
        <v>82</v>
      </c>
      <c r="C4" s="10" t="s">
        <v>83</v>
      </c>
      <c r="D4" s="10" t="s">
        <v>84</v>
      </c>
      <c r="E4" s="10">
        <v>800</v>
      </c>
      <c r="F4" s="10"/>
      <c r="G4" s="10" t="s">
        <v>139</v>
      </c>
    </row>
    <row r="5" spans="1:7">
      <c r="A5" s="10" t="s">
        <v>85</v>
      </c>
      <c r="B5" s="10" t="s">
        <v>86</v>
      </c>
      <c r="C5" s="10" t="s">
        <v>87</v>
      </c>
      <c r="D5" s="10" t="s">
        <v>88</v>
      </c>
      <c r="E5" s="10">
        <v>100</v>
      </c>
      <c r="F5" s="10"/>
      <c r="G5" s="10"/>
    </row>
    <row r="6" spans="1:7">
      <c r="A6" s="10" t="s">
        <v>89</v>
      </c>
      <c r="B6" s="10" t="s">
        <v>90</v>
      </c>
      <c r="C6" s="10" t="s">
        <v>87</v>
      </c>
      <c r="D6" s="10" t="s">
        <v>88</v>
      </c>
      <c r="E6" s="10">
        <v>100</v>
      </c>
      <c r="F6" s="10"/>
      <c r="G6" s="10"/>
    </row>
    <row r="7" spans="1:7">
      <c r="A7" s="10" t="s">
        <v>91</v>
      </c>
      <c r="B7" s="10" t="s">
        <v>92</v>
      </c>
      <c r="C7" s="10" t="s">
        <v>87</v>
      </c>
      <c r="D7" s="10" t="s">
        <v>88</v>
      </c>
      <c r="E7" s="10">
        <v>100</v>
      </c>
      <c r="F7" s="10"/>
      <c r="G7" s="10"/>
    </row>
    <row r="8" spans="1:7">
      <c r="A8" s="10" t="s">
        <v>93</v>
      </c>
      <c r="B8" s="10" t="s">
        <v>94</v>
      </c>
      <c r="C8" s="10" t="s">
        <v>95</v>
      </c>
      <c r="D8" s="10" t="s">
        <v>88</v>
      </c>
      <c r="E8" s="10">
        <v>100</v>
      </c>
      <c r="F8" s="10"/>
      <c r="G8" s="10"/>
    </row>
    <row r="9" spans="1:7">
      <c r="A9" s="10" t="s">
        <v>96</v>
      </c>
      <c r="B9" s="10" t="s">
        <v>97</v>
      </c>
      <c r="C9" s="10" t="s">
        <v>95</v>
      </c>
      <c r="D9" s="10" t="s">
        <v>88</v>
      </c>
      <c r="E9" s="10">
        <v>100</v>
      </c>
      <c r="F9" s="10"/>
      <c r="G9" s="10"/>
    </row>
    <row r="10" spans="1:7">
      <c r="A10" s="10" t="s">
        <v>98</v>
      </c>
      <c r="B10" s="10" t="s">
        <v>99</v>
      </c>
      <c r="C10" s="10" t="s">
        <v>95</v>
      </c>
      <c r="D10" s="10" t="s">
        <v>88</v>
      </c>
      <c r="E10" s="10">
        <v>100</v>
      </c>
      <c r="F10" s="10"/>
      <c r="G10" s="10"/>
    </row>
    <row r="11" spans="1:7">
      <c r="A11" s="10" t="s">
        <v>100</v>
      </c>
      <c r="B11" s="10" t="s">
        <v>101</v>
      </c>
      <c r="C11" s="10" t="s">
        <v>102</v>
      </c>
      <c r="D11" s="10" t="s">
        <v>88</v>
      </c>
      <c r="E11" s="10">
        <v>50</v>
      </c>
      <c r="F11" s="10"/>
      <c r="G11" s="10"/>
    </row>
    <row r="12" spans="1:7">
      <c r="A12" s="10" t="s">
        <v>103</v>
      </c>
      <c r="B12" s="10" t="s">
        <v>104</v>
      </c>
      <c r="C12" s="10" t="s">
        <v>102</v>
      </c>
      <c r="D12" s="10" t="s">
        <v>88</v>
      </c>
      <c r="E12" s="10">
        <v>50</v>
      </c>
      <c r="F12" s="10"/>
      <c r="G12" s="10"/>
    </row>
    <row r="13" spans="1:7">
      <c r="A13" s="10" t="s">
        <v>105</v>
      </c>
      <c r="B13" s="10" t="s">
        <v>106</v>
      </c>
      <c r="C13" s="10" t="s">
        <v>102</v>
      </c>
      <c r="D13" s="10" t="s">
        <v>88</v>
      </c>
      <c r="E13" s="10">
        <v>50</v>
      </c>
      <c r="F13" s="10"/>
      <c r="G13" s="10"/>
    </row>
    <row r="14" spans="1:7">
      <c r="A14" s="10" t="s">
        <v>107</v>
      </c>
      <c r="B14" s="10" t="s">
        <v>108</v>
      </c>
      <c r="C14" s="10" t="s">
        <v>102</v>
      </c>
      <c r="D14" s="10" t="s">
        <v>88</v>
      </c>
      <c r="E14" s="10">
        <v>50</v>
      </c>
      <c r="F14" s="10" t="s">
        <v>129</v>
      </c>
      <c r="G14" s="10"/>
    </row>
    <row r="15" spans="1:7">
      <c r="A15" s="10" t="s">
        <v>109</v>
      </c>
      <c r="B15" s="10" t="s">
        <v>110</v>
      </c>
      <c r="C15" s="10" t="s">
        <v>111</v>
      </c>
      <c r="D15" s="10" t="s">
        <v>88</v>
      </c>
      <c r="E15" s="10">
        <v>50</v>
      </c>
      <c r="F15" s="10"/>
      <c r="G15" s="10"/>
    </row>
    <row r="16" spans="1:7">
      <c r="A16" s="10" t="s">
        <v>112</v>
      </c>
      <c r="B16" s="10" t="s">
        <v>113</v>
      </c>
      <c r="C16" s="10" t="s">
        <v>111</v>
      </c>
      <c r="D16" s="10" t="s">
        <v>88</v>
      </c>
      <c r="E16" s="10">
        <v>50</v>
      </c>
      <c r="F16" s="10"/>
      <c r="G16" s="10"/>
    </row>
    <row r="17" spans="1:7">
      <c r="A17" s="10" t="s">
        <v>114</v>
      </c>
      <c r="B17" s="10" t="s">
        <v>115</v>
      </c>
      <c r="C17" s="10" t="s">
        <v>111</v>
      </c>
      <c r="D17" s="10" t="s">
        <v>88</v>
      </c>
      <c r="E17" s="10">
        <v>50</v>
      </c>
      <c r="F17" s="10"/>
      <c r="G17" s="10"/>
    </row>
    <row r="18" spans="1:7">
      <c r="A18" s="10" t="s">
        <v>116</v>
      </c>
      <c r="B18" s="10" t="s">
        <v>117</v>
      </c>
      <c r="C18" s="10" t="s">
        <v>111</v>
      </c>
      <c r="D18" s="10" t="s">
        <v>88</v>
      </c>
      <c r="E18" s="10">
        <v>50</v>
      </c>
      <c r="F18" s="10"/>
      <c r="G18" s="10"/>
    </row>
    <row r="19" spans="1:7">
      <c r="A19" s="10" t="s">
        <v>118</v>
      </c>
      <c r="B19" s="10" t="s">
        <v>119</v>
      </c>
      <c r="C19" s="10" t="s">
        <v>120</v>
      </c>
      <c r="D19" s="10" t="s">
        <v>88</v>
      </c>
      <c r="E19" s="10">
        <v>0</v>
      </c>
      <c r="F19" s="10" t="s">
        <v>129</v>
      </c>
      <c r="G19" s="10"/>
    </row>
    <row r="20" spans="1:7">
      <c r="A20" s="39" t="s">
        <v>127</v>
      </c>
      <c r="B20" s="39"/>
      <c r="C20" s="39"/>
      <c r="D20" s="39"/>
      <c r="E20" s="3">
        <f>SUM(E2:E19)</f>
        <v>4100</v>
      </c>
      <c r="F20" s="3">
        <f>COUNTA(F2:F19)*2+COUNTBLANK(F2:F19)</f>
        <v>20</v>
      </c>
      <c r="G20" s="3"/>
    </row>
  </sheetData>
  <mergeCells count="1">
    <mergeCell ref="A20:D2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A13" zoomScaleNormal="100" workbookViewId="0">
      <selection activeCell="A39" sqref="A39:E39"/>
    </sheetView>
  </sheetViews>
  <sheetFormatPr defaultRowHeight="15.75"/>
  <cols>
    <col min="2" max="2" width="14.85546875" customWidth="1"/>
    <col min="3" max="3" width="25.140625" customWidth="1"/>
    <col min="5" max="6" width="40.5703125" customWidth="1"/>
    <col min="7" max="7" width="36.85546875" customWidth="1"/>
    <col min="12" max="12" width="11" bestFit="1" customWidth="1"/>
    <col min="13" max="13" width="12.85546875" customWidth="1"/>
  </cols>
  <sheetData>
    <row r="1" spans="1:13">
      <c r="A1" s="49" t="s">
        <v>71</v>
      </c>
      <c r="B1" s="51"/>
      <c r="C1" s="51"/>
      <c r="D1" s="51"/>
      <c r="E1" s="50"/>
      <c r="F1" s="26" t="s">
        <v>147</v>
      </c>
    </row>
    <row r="2" spans="1:13">
      <c r="A2" s="52" t="s">
        <v>130</v>
      </c>
      <c r="B2" s="49" t="s">
        <v>132</v>
      </c>
      <c r="C2" s="50"/>
      <c r="D2" s="3">
        <v>2600</v>
      </c>
      <c r="E2" s="3" t="s">
        <v>133</v>
      </c>
      <c r="F2" s="32">
        <v>2600</v>
      </c>
      <c r="H2" s="16" t="s">
        <v>121</v>
      </c>
      <c r="I2" s="16" t="s">
        <v>122</v>
      </c>
      <c r="J2" s="16" t="s">
        <v>123</v>
      </c>
      <c r="K2" s="16" t="s">
        <v>124</v>
      </c>
      <c r="L2" s="16" t="s">
        <v>125</v>
      </c>
    </row>
    <row r="3" spans="1:13">
      <c r="A3" s="53"/>
      <c r="B3" s="49" t="s">
        <v>131</v>
      </c>
      <c r="C3" s="50"/>
      <c r="D3" s="3">
        <v>200</v>
      </c>
      <c r="E3" s="3"/>
      <c r="F3" s="32">
        <v>170</v>
      </c>
      <c r="H3" s="24" t="s">
        <v>73</v>
      </c>
      <c r="I3" s="24" t="s">
        <v>74</v>
      </c>
      <c r="J3" s="24" t="s">
        <v>75</v>
      </c>
      <c r="K3" s="24" t="s">
        <v>76</v>
      </c>
      <c r="L3" s="23">
        <v>1500</v>
      </c>
    </row>
    <row r="4" spans="1:13">
      <c r="A4" s="42" t="s">
        <v>134</v>
      </c>
      <c r="B4" s="43"/>
      <c r="C4" s="44"/>
      <c r="D4" s="3">
        <f>SUM(D2:D3)</f>
        <v>2800</v>
      </c>
      <c r="E4" s="3"/>
      <c r="F4" s="3">
        <v>2770</v>
      </c>
      <c r="H4" s="24" t="s">
        <v>77</v>
      </c>
      <c r="I4" s="24" t="s">
        <v>78</v>
      </c>
      <c r="J4" s="24" t="s">
        <v>79</v>
      </c>
      <c r="K4" s="24" t="s">
        <v>80</v>
      </c>
      <c r="L4" s="23">
        <v>800</v>
      </c>
      <c r="M4" s="38" t="s">
        <v>171</v>
      </c>
    </row>
    <row r="5" spans="1:13">
      <c r="A5" s="54" t="s">
        <v>50</v>
      </c>
      <c r="B5" s="54" t="s">
        <v>25</v>
      </c>
      <c r="C5" s="3" t="s">
        <v>23</v>
      </c>
      <c r="D5" s="3">
        <v>140</v>
      </c>
      <c r="E5" s="3" t="s">
        <v>56</v>
      </c>
      <c r="F5" s="32">
        <v>90</v>
      </c>
      <c r="G5" s="29" t="s">
        <v>162</v>
      </c>
      <c r="H5" s="24" t="s">
        <v>81</v>
      </c>
      <c r="I5" s="24" t="s">
        <v>82</v>
      </c>
      <c r="J5" s="24" t="s">
        <v>83</v>
      </c>
      <c r="K5" s="24" t="s">
        <v>84</v>
      </c>
      <c r="L5" s="23">
        <v>800</v>
      </c>
    </row>
    <row r="6" spans="1:13">
      <c r="A6" s="54"/>
      <c r="B6" s="54"/>
      <c r="C6" s="3" t="s">
        <v>24</v>
      </c>
      <c r="D6" s="3">
        <v>152</v>
      </c>
      <c r="E6" s="3" t="s">
        <v>57</v>
      </c>
      <c r="F6" s="32">
        <v>175</v>
      </c>
      <c r="G6" t="s">
        <v>163</v>
      </c>
      <c r="H6" s="24" t="s">
        <v>85</v>
      </c>
      <c r="I6" s="24" t="s">
        <v>86</v>
      </c>
      <c r="J6" s="24" t="s">
        <v>87</v>
      </c>
      <c r="K6" s="24" t="s">
        <v>88</v>
      </c>
      <c r="L6" s="23">
        <v>100</v>
      </c>
    </row>
    <row r="7" spans="1:13">
      <c r="A7" s="54"/>
      <c r="B7" s="54"/>
      <c r="C7" s="3" t="s">
        <v>174</v>
      </c>
      <c r="D7" s="3">
        <v>39</v>
      </c>
      <c r="E7" s="3" t="s">
        <v>175</v>
      </c>
      <c r="F7" s="32">
        <v>30</v>
      </c>
      <c r="G7" t="s">
        <v>164</v>
      </c>
      <c r="H7" s="24" t="s">
        <v>89</v>
      </c>
      <c r="I7" s="24" t="s">
        <v>90</v>
      </c>
      <c r="J7" s="24" t="s">
        <v>87</v>
      </c>
      <c r="K7" s="24" t="s">
        <v>88</v>
      </c>
      <c r="L7" s="23">
        <v>100</v>
      </c>
    </row>
    <row r="8" spans="1:13">
      <c r="A8" s="54"/>
      <c r="B8" s="54" t="s">
        <v>30</v>
      </c>
      <c r="C8" s="3" t="s">
        <v>29</v>
      </c>
      <c r="D8" s="3">
        <v>18</v>
      </c>
      <c r="E8" s="3" t="s">
        <v>145</v>
      </c>
      <c r="F8" s="32">
        <v>15</v>
      </c>
      <c r="H8" s="24" t="s">
        <v>91</v>
      </c>
      <c r="I8" s="24" t="s">
        <v>92</v>
      </c>
      <c r="J8" s="24" t="s">
        <v>87</v>
      </c>
      <c r="K8" s="24" t="s">
        <v>88</v>
      </c>
      <c r="L8" s="23">
        <v>100</v>
      </c>
    </row>
    <row r="9" spans="1:13">
      <c r="A9" s="54"/>
      <c r="B9" s="54"/>
      <c r="C9" s="3" t="s">
        <v>28</v>
      </c>
      <c r="D9" s="3">
        <v>8</v>
      </c>
      <c r="E9" s="3" t="s">
        <v>58</v>
      </c>
      <c r="F9" s="32">
        <v>5.5</v>
      </c>
      <c r="H9" s="20" t="s">
        <v>93</v>
      </c>
      <c r="I9" s="20" t="s">
        <v>94</v>
      </c>
      <c r="J9" s="20" t="s">
        <v>95</v>
      </c>
      <c r="K9" s="20" t="s">
        <v>88</v>
      </c>
      <c r="L9" s="20">
        <v>100</v>
      </c>
    </row>
    <row r="10" spans="1:13">
      <c r="A10" s="54"/>
      <c r="B10" s="54"/>
      <c r="C10" s="3" t="s">
        <v>26</v>
      </c>
      <c r="D10" s="3">
        <v>8</v>
      </c>
      <c r="E10" s="3" t="s">
        <v>59</v>
      </c>
      <c r="F10" s="32">
        <v>8.9</v>
      </c>
      <c r="H10" s="20" t="s">
        <v>96</v>
      </c>
      <c r="I10" s="20" t="s">
        <v>97</v>
      </c>
      <c r="J10" s="20" t="s">
        <v>95</v>
      </c>
      <c r="K10" s="20" t="s">
        <v>88</v>
      </c>
      <c r="L10" s="20">
        <v>100</v>
      </c>
    </row>
    <row r="11" spans="1:13">
      <c r="A11" s="54"/>
      <c r="B11" s="54"/>
      <c r="C11" s="3" t="s">
        <v>27</v>
      </c>
      <c r="D11" s="3">
        <v>7</v>
      </c>
      <c r="E11" s="3" t="s">
        <v>60</v>
      </c>
      <c r="F11" s="32">
        <v>9</v>
      </c>
      <c r="H11" s="30" t="s">
        <v>98</v>
      </c>
      <c r="I11" s="30" t="s">
        <v>99</v>
      </c>
      <c r="J11" s="30" t="s">
        <v>95</v>
      </c>
      <c r="K11" s="30" t="s">
        <v>88</v>
      </c>
      <c r="L11" s="30">
        <v>100</v>
      </c>
      <c r="M11" s="37" t="s">
        <v>168</v>
      </c>
    </row>
    <row r="12" spans="1:13">
      <c r="A12" s="54"/>
      <c r="B12" s="54"/>
      <c r="C12" s="3" t="s">
        <v>31</v>
      </c>
      <c r="D12" s="3">
        <v>6</v>
      </c>
      <c r="E12" s="3" t="s">
        <v>62</v>
      </c>
      <c r="F12" s="32">
        <v>4.7</v>
      </c>
      <c r="H12" s="20" t="s">
        <v>100</v>
      </c>
      <c r="I12" s="20" t="s">
        <v>101</v>
      </c>
      <c r="J12" s="20" t="s">
        <v>102</v>
      </c>
      <c r="K12" s="20" t="s">
        <v>88</v>
      </c>
      <c r="L12" s="20">
        <v>50</v>
      </c>
    </row>
    <row r="13" spans="1:13">
      <c r="A13" s="54"/>
      <c r="B13" s="54"/>
      <c r="C13" s="3" t="s">
        <v>43</v>
      </c>
      <c r="D13" s="3">
        <v>6</v>
      </c>
      <c r="E13" s="3" t="s">
        <v>61</v>
      </c>
      <c r="F13" s="32">
        <v>6.1</v>
      </c>
      <c r="H13" s="20" t="s">
        <v>103</v>
      </c>
      <c r="I13" s="20" t="s">
        <v>104</v>
      </c>
      <c r="J13" s="20" t="s">
        <v>102</v>
      </c>
      <c r="K13" s="20" t="s">
        <v>88</v>
      </c>
      <c r="L13" s="20">
        <v>50</v>
      </c>
    </row>
    <row r="14" spans="1:13">
      <c r="A14" s="54"/>
      <c r="B14" s="54"/>
      <c r="C14" s="3" t="s">
        <v>32</v>
      </c>
      <c r="D14" s="3">
        <v>6</v>
      </c>
      <c r="E14" s="3" t="s">
        <v>63</v>
      </c>
      <c r="F14" s="32">
        <v>4.8</v>
      </c>
      <c r="H14" s="20" t="s">
        <v>105</v>
      </c>
      <c r="I14" s="20" t="s">
        <v>106</v>
      </c>
      <c r="J14" s="20" t="s">
        <v>102</v>
      </c>
      <c r="K14" s="20" t="s">
        <v>88</v>
      </c>
      <c r="L14" s="20">
        <v>50</v>
      </c>
    </row>
    <row r="15" spans="1:13">
      <c r="A15" s="54"/>
      <c r="B15" s="54"/>
      <c r="C15" s="3" t="s">
        <v>33</v>
      </c>
      <c r="D15" s="3">
        <v>3</v>
      </c>
      <c r="E15" s="3" t="s">
        <v>51</v>
      </c>
      <c r="F15" s="32">
        <v>4.0999999999999996</v>
      </c>
      <c r="H15" s="20" t="s">
        <v>107</v>
      </c>
      <c r="I15" s="20" t="s">
        <v>108</v>
      </c>
      <c r="J15" s="20" t="s">
        <v>102</v>
      </c>
      <c r="K15" s="20" t="s">
        <v>88</v>
      </c>
      <c r="L15" s="20">
        <v>50</v>
      </c>
    </row>
    <row r="16" spans="1:13">
      <c r="A16" s="54"/>
      <c r="B16" s="54"/>
      <c r="C16" s="3" t="s">
        <v>34</v>
      </c>
      <c r="D16" s="3">
        <v>10</v>
      </c>
      <c r="E16" s="3" t="s">
        <v>64</v>
      </c>
      <c r="F16" s="32">
        <v>10.3</v>
      </c>
      <c r="G16" t="s">
        <v>161</v>
      </c>
      <c r="H16" s="20" t="s">
        <v>109</v>
      </c>
      <c r="I16" s="20" t="s">
        <v>110</v>
      </c>
      <c r="J16" s="20" t="s">
        <v>111</v>
      </c>
      <c r="K16" s="20" t="s">
        <v>88</v>
      </c>
      <c r="L16" s="20">
        <v>50</v>
      </c>
    </row>
    <row r="17" spans="1:13">
      <c r="A17" s="54"/>
      <c r="B17" s="54"/>
      <c r="C17" s="3" t="s">
        <v>35</v>
      </c>
      <c r="D17" s="3">
        <v>7</v>
      </c>
      <c r="E17" s="3" t="s">
        <v>60</v>
      </c>
      <c r="F17" s="32">
        <v>5</v>
      </c>
      <c r="H17" s="30" t="s">
        <v>112</v>
      </c>
      <c r="I17" s="30" t="s">
        <v>113</v>
      </c>
      <c r="J17" s="30" t="s">
        <v>111</v>
      </c>
      <c r="K17" s="30" t="s">
        <v>88</v>
      </c>
      <c r="L17" s="30">
        <v>50</v>
      </c>
      <c r="M17" s="37" t="s">
        <v>169</v>
      </c>
    </row>
    <row r="18" spans="1:13">
      <c r="A18" s="54"/>
      <c r="B18" s="54"/>
      <c r="C18" s="3" t="s">
        <v>36</v>
      </c>
      <c r="D18" s="3">
        <v>10</v>
      </c>
      <c r="E18" s="3" t="s">
        <v>65</v>
      </c>
      <c r="F18" s="32">
        <v>13.2</v>
      </c>
      <c r="H18" s="20" t="s">
        <v>114</v>
      </c>
      <c r="I18" s="20" t="s">
        <v>115</v>
      </c>
      <c r="J18" s="20" t="s">
        <v>111</v>
      </c>
      <c r="K18" s="20" t="s">
        <v>88</v>
      </c>
      <c r="L18" s="20">
        <v>50</v>
      </c>
    </row>
    <row r="19" spans="1:13">
      <c r="A19" s="54"/>
      <c r="B19" s="54"/>
      <c r="C19" s="3" t="s">
        <v>37</v>
      </c>
      <c r="D19" s="3">
        <v>7</v>
      </c>
      <c r="E19" s="3" t="s">
        <v>66</v>
      </c>
      <c r="F19" s="32">
        <v>3.1</v>
      </c>
      <c r="H19" s="20" t="s">
        <v>116</v>
      </c>
      <c r="I19" s="20" t="s">
        <v>117</v>
      </c>
      <c r="J19" s="20" t="s">
        <v>111</v>
      </c>
      <c r="K19" s="20" t="s">
        <v>88</v>
      </c>
      <c r="L19" s="20">
        <v>50</v>
      </c>
    </row>
    <row r="20" spans="1:13">
      <c r="A20" s="54"/>
      <c r="B20" s="54"/>
      <c r="C20" s="3" t="s">
        <v>38</v>
      </c>
      <c r="D20" s="3">
        <v>10</v>
      </c>
      <c r="E20" s="3" t="s">
        <v>67</v>
      </c>
      <c r="F20" s="32">
        <v>9</v>
      </c>
      <c r="H20" s="20" t="s">
        <v>118</v>
      </c>
      <c r="I20" s="20" t="s">
        <v>119</v>
      </c>
      <c r="J20" s="20" t="s">
        <v>120</v>
      </c>
      <c r="K20" s="20" t="s">
        <v>88</v>
      </c>
      <c r="L20" s="20">
        <v>0</v>
      </c>
    </row>
    <row r="21" spans="1:13">
      <c r="A21" s="54"/>
      <c r="B21" s="54"/>
      <c r="C21" s="3" t="s">
        <v>173</v>
      </c>
      <c r="D21" s="3">
        <v>10</v>
      </c>
      <c r="E21" s="3" t="s">
        <v>176</v>
      </c>
      <c r="F21" s="32">
        <v>10.5</v>
      </c>
      <c r="H21" s="19" t="s">
        <v>127</v>
      </c>
      <c r="I21" s="19"/>
      <c r="J21" s="19"/>
      <c r="K21" s="28" t="s">
        <v>166</v>
      </c>
      <c r="L21" s="3">
        <f>SUM(L3:L20)</f>
        <v>4100</v>
      </c>
    </row>
    <row r="22" spans="1:13">
      <c r="A22" s="54"/>
      <c r="B22" s="54"/>
      <c r="C22" s="3" t="s">
        <v>41</v>
      </c>
      <c r="D22" s="3">
        <v>10</v>
      </c>
      <c r="E22" s="3" t="s">
        <v>68</v>
      </c>
      <c r="F22" s="32">
        <v>8</v>
      </c>
      <c r="K22" s="35" t="s">
        <v>170</v>
      </c>
      <c r="L22" s="36">
        <v>3826.1</v>
      </c>
    </row>
    <row r="23" spans="1:13">
      <c r="A23" s="54"/>
      <c r="B23" s="54"/>
      <c r="C23" s="3" t="s">
        <v>42</v>
      </c>
      <c r="D23" s="3">
        <v>5</v>
      </c>
      <c r="E23" s="3" t="s">
        <v>69</v>
      </c>
      <c r="F23" s="32">
        <v>2.4</v>
      </c>
      <c r="K23" s="35" t="s">
        <v>167</v>
      </c>
      <c r="L23" s="36">
        <v>273.89999999999998</v>
      </c>
    </row>
    <row r="24" spans="1:13">
      <c r="A24" s="28"/>
      <c r="B24" s="28"/>
      <c r="C24" s="3" t="s">
        <v>151</v>
      </c>
      <c r="D24" s="3">
        <v>0</v>
      </c>
      <c r="E24" s="3"/>
      <c r="F24" s="32">
        <v>10</v>
      </c>
      <c r="K24" s="35" t="s">
        <v>172</v>
      </c>
      <c r="L24" s="3">
        <v>250</v>
      </c>
    </row>
    <row r="25" spans="1:13">
      <c r="A25" s="28"/>
      <c r="B25" s="28"/>
      <c r="C25" s="3" t="s">
        <v>150</v>
      </c>
      <c r="D25" s="3">
        <v>0</v>
      </c>
      <c r="E25" s="3"/>
      <c r="F25" s="32">
        <v>4</v>
      </c>
      <c r="L25">
        <v>23.9</v>
      </c>
    </row>
    <row r="26" spans="1:13">
      <c r="A26" s="54" t="s">
        <v>49</v>
      </c>
      <c r="B26" s="55" t="s">
        <v>39</v>
      </c>
      <c r="C26" s="55"/>
      <c r="D26" s="31">
        <v>80</v>
      </c>
      <c r="E26" s="31" t="s">
        <v>142</v>
      </c>
      <c r="F26" s="31">
        <v>0</v>
      </c>
    </row>
    <row r="27" spans="1:13">
      <c r="A27" s="54"/>
      <c r="B27" s="40" t="s">
        <v>47</v>
      </c>
      <c r="C27" s="40"/>
      <c r="D27" s="3">
        <v>30</v>
      </c>
      <c r="E27" s="3"/>
      <c r="F27" s="32">
        <v>23</v>
      </c>
      <c r="G27" t="s">
        <v>160</v>
      </c>
    </row>
    <row r="28" spans="1:13">
      <c r="A28" s="54"/>
      <c r="B28" s="8" t="s">
        <v>141</v>
      </c>
      <c r="C28" s="8"/>
      <c r="D28" s="3">
        <v>70</v>
      </c>
      <c r="E28" s="3" t="s">
        <v>52</v>
      </c>
      <c r="F28" s="32">
        <v>68</v>
      </c>
      <c r="G28" t="s">
        <v>159</v>
      </c>
    </row>
    <row r="29" spans="1:13">
      <c r="A29" s="54"/>
      <c r="B29" s="40" t="s">
        <v>48</v>
      </c>
      <c r="C29" s="40"/>
      <c r="D29" s="3">
        <v>40</v>
      </c>
      <c r="E29" s="3" t="s">
        <v>148</v>
      </c>
      <c r="F29" s="32">
        <v>31</v>
      </c>
      <c r="G29" t="s">
        <v>158</v>
      </c>
    </row>
    <row r="30" spans="1:13">
      <c r="A30" s="54"/>
      <c r="B30" s="8" t="s">
        <v>46</v>
      </c>
      <c r="C30" s="8">
        <v>60</v>
      </c>
      <c r="D30" s="3">
        <v>60</v>
      </c>
      <c r="E30" s="3" t="s">
        <v>54</v>
      </c>
      <c r="F30" s="32">
        <v>68</v>
      </c>
      <c r="G30" t="s">
        <v>155</v>
      </c>
    </row>
    <row r="31" spans="1:13">
      <c r="A31" s="9" t="s">
        <v>40</v>
      </c>
      <c r="B31" s="40" t="s">
        <v>44</v>
      </c>
      <c r="C31" s="40"/>
      <c r="D31" s="3">
        <v>8</v>
      </c>
      <c r="E31" s="3" t="s">
        <v>55</v>
      </c>
      <c r="F31" s="32">
        <v>5</v>
      </c>
      <c r="G31" t="s">
        <v>156</v>
      </c>
    </row>
    <row r="32" spans="1:13">
      <c r="A32" s="47" t="s">
        <v>70</v>
      </c>
      <c r="B32" s="41" t="s">
        <v>146</v>
      </c>
      <c r="C32" s="40"/>
      <c r="D32" s="3">
        <v>50</v>
      </c>
      <c r="E32" s="3"/>
      <c r="F32" s="32">
        <v>69</v>
      </c>
      <c r="G32" t="s">
        <v>157</v>
      </c>
    </row>
    <row r="33" spans="1:7">
      <c r="A33" s="48"/>
      <c r="B33" s="49" t="s">
        <v>149</v>
      </c>
      <c r="C33" s="50"/>
      <c r="D33" s="3">
        <v>65</v>
      </c>
      <c r="E33" s="3" t="s">
        <v>53</v>
      </c>
      <c r="F33" s="32">
        <v>50.5</v>
      </c>
      <c r="G33" t="s">
        <v>152</v>
      </c>
    </row>
    <row r="34" spans="1:7" ht="32.25" customHeight="1">
      <c r="A34" s="21" t="s">
        <v>45</v>
      </c>
      <c r="B34" s="46" t="s">
        <v>143</v>
      </c>
      <c r="C34" s="46"/>
      <c r="D34" s="22">
        <v>250</v>
      </c>
      <c r="E34" s="22" t="s">
        <v>144</v>
      </c>
      <c r="F34" s="34">
        <v>246</v>
      </c>
    </row>
    <row r="35" spans="1:7">
      <c r="A35" s="9" t="s">
        <v>136</v>
      </c>
      <c r="B35" s="41" t="s">
        <v>137</v>
      </c>
      <c r="C35" s="41"/>
      <c r="D35" s="3">
        <v>70</v>
      </c>
      <c r="E35" s="3" t="s">
        <v>138</v>
      </c>
      <c r="F35" s="32">
        <v>67</v>
      </c>
      <c r="G35" t="s">
        <v>165</v>
      </c>
    </row>
    <row r="36" spans="1:7">
      <c r="A36" s="42" t="s">
        <v>134</v>
      </c>
      <c r="B36" s="43"/>
      <c r="C36" s="44"/>
      <c r="D36" s="3">
        <f>SUM(D5:D35)</f>
        <v>1185</v>
      </c>
      <c r="E36" s="25" t="s">
        <v>154</v>
      </c>
      <c r="F36" s="3">
        <f>SUM(F5:F35)</f>
        <v>1056.0999999999999</v>
      </c>
    </row>
    <row r="37" spans="1:7">
      <c r="A37" s="42" t="s">
        <v>127</v>
      </c>
      <c r="B37" s="43"/>
      <c r="C37" s="44"/>
      <c r="D37" s="3">
        <f>D4+D36</f>
        <v>3985</v>
      </c>
      <c r="E37" s="25" t="s">
        <v>153</v>
      </c>
      <c r="F37" s="33">
        <f>SUM(F4+F36)</f>
        <v>3826.1</v>
      </c>
    </row>
    <row r="39" spans="1:7" ht="60.75" customHeight="1">
      <c r="A39" s="45" t="s">
        <v>135</v>
      </c>
      <c r="B39" s="45"/>
      <c r="C39" s="45"/>
      <c r="D39" s="45"/>
      <c r="E39" s="45"/>
      <c r="F39" s="27"/>
    </row>
  </sheetData>
  <mergeCells count="21">
    <mergeCell ref="B27:C27"/>
    <mergeCell ref="B5:B7"/>
    <mergeCell ref="B8:B23"/>
    <mergeCell ref="A5:A23"/>
    <mergeCell ref="B26:C26"/>
    <mergeCell ref="A26:A30"/>
    <mergeCell ref="B29:C29"/>
    <mergeCell ref="A1:E1"/>
    <mergeCell ref="A2:A3"/>
    <mergeCell ref="B2:C2"/>
    <mergeCell ref="B3:C3"/>
    <mergeCell ref="A4:C4"/>
    <mergeCell ref="B31:C31"/>
    <mergeCell ref="B32:C32"/>
    <mergeCell ref="A37:C37"/>
    <mergeCell ref="A39:E39"/>
    <mergeCell ref="B34:C34"/>
    <mergeCell ref="A36:C36"/>
    <mergeCell ref="A32:A33"/>
    <mergeCell ref="B35:C35"/>
    <mergeCell ref="B33:C33"/>
  </mergeCells>
  <phoneticPr fontId="1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方案</vt:lpstr>
      <vt:lpstr>收入</vt:lpstr>
      <vt:lpstr>開支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2019-12-16T06:02:14Z</dcterms:modified>
</cp:coreProperties>
</file>