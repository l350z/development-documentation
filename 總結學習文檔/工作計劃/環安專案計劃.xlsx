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105" windowWidth="14805" windowHeight="7440" tabRatio="890" activeTab="1"/>
  </bookViews>
  <sheets>
    <sheet name="專案計劃" sheetId="40" r:id="rId1"/>
    <sheet name="EHS架構圖" sheetId="33" r:id="rId2"/>
    <sheet name="任務列表" sheetId="16" r:id="rId3"/>
    <sheet name="基本資料" sheetId="24" r:id="rId4"/>
    <sheet name="系統管理" sheetId="21" r:id="rId5"/>
    <sheet name="用戶角色權限" sheetId="27" r:id="rId6"/>
    <sheet name="審核流程圖" sheetId="35" r:id="rId7"/>
    <sheet name="其他" sheetId="42" r:id="rId8"/>
    <sheet name="說明" sheetId="5" r:id="rId9"/>
    <sheet name="數據庫設計" sheetId="43" r:id="rId10"/>
    <sheet name="模塊化架構圖" sheetId="45" r:id="rId11"/>
    <sheet name="模塊化架構圖 (刪除)" sheetId="46" r:id="rId12"/>
  </sheets>
  <calcPr calcId="162913"/>
  <fileRecoveryPr repairLoad="1"/>
</workbook>
</file>

<file path=xl/calcChain.xml><?xml version="1.0" encoding="utf-8"?>
<calcChain xmlns="http://schemas.openxmlformats.org/spreadsheetml/2006/main">
  <c r="E44" i="40" l="1"/>
  <c r="D44" i="40"/>
  <c r="E45" i="40"/>
  <c r="E42" i="40"/>
  <c r="E38" i="40"/>
  <c r="E30" i="40"/>
  <c r="E15" i="40"/>
  <c r="D11" i="40" l="1"/>
  <c r="E18" i="40"/>
  <c r="D3" i="40" l="1"/>
  <c r="E26" i="40"/>
  <c r="E11" i="40" s="1"/>
  <c r="E3" i="40" l="1"/>
</calcChain>
</file>

<file path=xl/sharedStrings.xml><?xml version="1.0" encoding="utf-8"?>
<sst xmlns="http://schemas.openxmlformats.org/spreadsheetml/2006/main" count="275" uniqueCount="233">
  <si>
    <t>序號</t>
    <phoneticPr fontId="2" type="noConversion"/>
  </si>
  <si>
    <t>功能</t>
    <phoneticPr fontId="2" type="noConversion"/>
  </si>
  <si>
    <t>說明</t>
    <phoneticPr fontId="2" type="noConversion"/>
  </si>
  <si>
    <t>備註</t>
    <phoneticPr fontId="2" type="noConversion"/>
  </si>
  <si>
    <t>功能</t>
    <phoneticPr fontId="2" type="noConversion"/>
  </si>
  <si>
    <t>文件管理</t>
    <phoneticPr fontId="2" type="noConversion"/>
  </si>
  <si>
    <t>序號</t>
    <phoneticPr fontId="2" type="noConversion"/>
  </si>
  <si>
    <t>說明</t>
    <phoneticPr fontId="2" type="noConversion"/>
  </si>
  <si>
    <t>序號</t>
    <phoneticPr fontId="2" type="noConversion"/>
  </si>
  <si>
    <t>查詢條件</t>
    <phoneticPr fontId="2" type="noConversion"/>
  </si>
  <si>
    <t>錄入</t>
    <phoneticPr fontId="2" type="noConversion"/>
  </si>
  <si>
    <t>模塊</t>
    <phoneticPr fontId="2" type="noConversion"/>
  </si>
  <si>
    <t>列表</t>
    <phoneticPr fontId="2" type="noConversion"/>
  </si>
  <si>
    <t>說明</t>
    <phoneticPr fontId="2" type="noConversion"/>
  </si>
  <si>
    <t>備註</t>
    <phoneticPr fontId="2" type="noConversion"/>
  </si>
  <si>
    <t>圖4</t>
    <phoneticPr fontId="2" type="noConversion"/>
  </si>
  <si>
    <t>部門管理員管理</t>
    <phoneticPr fontId="2" type="noConversion"/>
  </si>
  <si>
    <t>操作</t>
    <phoneticPr fontId="2" type="noConversion"/>
  </si>
  <si>
    <t>新增</t>
    <phoneticPr fontId="2" type="noConversion"/>
  </si>
  <si>
    <t>修改</t>
    <phoneticPr fontId="2" type="noConversion"/>
  </si>
  <si>
    <t>刪除</t>
    <phoneticPr fontId="2" type="noConversion"/>
  </si>
  <si>
    <t>查詢</t>
    <phoneticPr fontId="2" type="noConversion"/>
  </si>
  <si>
    <t>新增</t>
    <phoneticPr fontId="2" type="noConversion"/>
  </si>
  <si>
    <t>修改</t>
    <phoneticPr fontId="2" type="noConversion"/>
  </si>
  <si>
    <t>刪除</t>
    <phoneticPr fontId="2" type="noConversion"/>
  </si>
  <si>
    <t>查詢</t>
    <phoneticPr fontId="2" type="noConversion"/>
  </si>
  <si>
    <t>輸入</t>
    <phoneticPr fontId="2" type="noConversion"/>
  </si>
  <si>
    <r>
      <rPr>
        <sz val="12"/>
        <color rgb="FF7030A0"/>
        <rFont val="新細明體"/>
        <family val="1"/>
        <charset val="136"/>
        <scheme val="minor"/>
      </rPr>
      <t>部門代碼</t>
    </r>
    <r>
      <rPr>
        <sz val="12"/>
        <rFont val="新細明體"/>
        <family val="2"/>
        <scheme val="minor"/>
      </rPr>
      <t>，部門簡稱，管理員工號，</t>
    </r>
    <r>
      <rPr>
        <sz val="12"/>
        <color rgb="FF7030A0"/>
        <rFont val="新細明體"/>
        <family val="1"/>
        <charset val="136"/>
        <scheme val="minor"/>
      </rPr>
      <t>姓名</t>
    </r>
    <phoneticPr fontId="2" type="noConversion"/>
  </si>
  <si>
    <t>費用代碼，部門簡稱，管理員工號，管理員姓名，廠區</t>
    <phoneticPr fontId="2" type="noConversion"/>
  </si>
  <si>
    <t>可刪除該部門配置的管理員</t>
    <phoneticPr fontId="2" type="noConversion"/>
  </si>
  <si>
    <t>修改</t>
    <phoneticPr fontId="2" type="noConversion"/>
  </si>
  <si>
    <t>廢止</t>
    <phoneticPr fontId="2" type="noConversion"/>
  </si>
  <si>
    <t>文件編號
文件名稱
料號
部門代碼
部門名稱
類型
機種
事業處
廠區
執行時間</t>
    <phoneticPr fontId="2" type="noConversion"/>
  </si>
  <si>
    <t>任務列表</t>
    <phoneticPr fontId="2" type="noConversion"/>
  </si>
  <si>
    <t>已辦任務</t>
    <phoneticPr fontId="2" type="noConversion"/>
  </si>
  <si>
    <t>代辦任務</t>
    <phoneticPr fontId="2" type="noConversion"/>
  </si>
  <si>
    <t>功能</t>
    <phoneticPr fontId="2" type="noConversion"/>
  </si>
  <si>
    <t>修改密碼-》取消，去workflow修改</t>
    <phoneticPr fontId="2" type="noConversion"/>
  </si>
  <si>
    <t>系統管理</t>
    <phoneticPr fontId="2" type="noConversion"/>
  </si>
  <si>
    <t>描述</t>
    <phoneticPr fontId="2" type="noConversion"/>
  </si>
  <si>
    <t>功能</t>
    <phoneticPr fontId="2" type="noConversion"/>
  </si>
  <si>
    <t>操作</t>
    <phoneticPr fontId="2" type="noConversion"/>
  </si>
  <si>
    <t>可以導出文件管理員明細表</t>
    <phoneticPr fontId="2" type="noConversion"/>
  </si>
  <si>
    <t>用戶角色權限</t>
    <phoneticPr fontId="2" type="noConversion"/>
  </si>
  <si>
    <t>文控</t>
    <phoneticPr fontId="2" type="noConversion"/>
  </si>
  <si>
    <t>文件管理員</t>
    <phoneticPr fontId="2" type="noConversion"/>
  </si>
  <si>
    <t>文件管理員</t>
    <phoneticPr fontId="2" type="noConversion"/>
  </si>
  <si>
    <t>普通用戶</t>
    <phoneticPr fontId="2" type="noConversion"/>
  </si>
  <si>
    <t>是否簽核流程</t>
    <phoneticPr fontId="2" type="noConversion"/>
  </si>
  <si>
    <t>導出報表</t>
    <phoneticPr fontId="2" type="noConversion"/>
  </si>
  <si>
    <t>功能</t>
    <phoneticPr fontId="2" type="noConversion"/>
  </si>
  <si>
    <t>備註</t>
    <phoneticPr fontId="2" type="noConversion"/>
  </si>
  <si>
    <t>描述</t>
    <phoneticPr fontId="2" type="noConversion"/>
  </si>
  <si>
    <t>已辦任務</t>
    <phoneticPr fontId="2" type="noConversion"/>
  </si>
  <si>
    <r>
      <t>備註：</t>
    </r>
    <r>
      <rPr>
        <sz val="11"/>
        <color rgb="FF0000FF"/>
        <rFont val="新細明體"/>
        <family val="1"/>
        <charset val="136"/>
        <scheme val="minor"/>
      </rPr>
      <t>藍色待調整</t>
    </r>
    <r>
      <rPr>
        <sz val="11"/>
        <color theme="1"/>
        <rFont val="新細明體"/>
        <family val="2"/>
        <scheme val="minor"/>
      </rPr>
      <t>，</t>
    </r>
    <r>
      <rPr>
        <sz val="11"/>
        <color rgb="FF7030A0"/>
        <rFont val="新細明體"/>
        <family val="1"/>
        <charset val="136"/>
        <scheme val="minor"/>
      </rPr>
      <t>紫色新增功能</t>
    </r>
    <r>
      <rPr>
        <sz val="11"/>
        <color theme="1"/>
        <rFont val="新細明體"/>
        <family val="2"/>
        <scheme val="minor"/>
      </rPr>
      <t>，</t>
    </r>
    <r>
      <rPr>
        <sz val="11"/>
        <color rgb="FFFF0000"/>
        <rFont val="新細明體"/>
        <family val="1"/>
        <charset val="136"/>
        <scheme val="minor"/>
      </rPr>
      <t>紅色需注意</t>
    </r>
    <r>
      <rPr>
        <sz val="11"/>
        <rFont val="新細明體"/>
        <family val="1"/>
        <charset val="136"/>
        <scheme val="minor"/>
      </rPr>
      <t>，</t>
    </r>
    <r>
      <rPr>
        <sz val="11"/>
        <color theme="0" tint="-0.499984740745262"/>
        <rFont val="新細明體"/>
        <family val="1"/>
        <charset val="136"/>
        <scheme val="minor"/>
      </rPr>
      <t>灰色取消</t>
    </r>
    <phoneticPr fontId="2" type="noConversion"/>
  </si>
  <si>
    <t>基本資料管理</t>
    <phoneticPr fontId="2" type="noConversion"/>
  </si>
  <si>
    <t>基本資料管理</t>
    <phoneticPr fontId="2" type="noConversion"/>
  </si>
  <si>
    <r>
      <rPr>
        <sz val="12"/>
        <color rgb="FFFF0000"/>
        <rFont val="新細明體"/>
        <family val="1"/>
        <charset val="136"/>
        <scheme val="minor"/>
      </rPr>
      <t>部門代碼</t>
    </r>
    <r>
      <rPr>
        <sz val="12"/>
        <rFont val="新細明體"/>
        <family val="1"/>
        <charset val="136"/>
        <scheme val="minor"/>
      </rPr>
      <t xml:space="preserve">
部門簡稱：（可自動帶出）
管理員工號：
姓名：（可自動帶出）
廠區：
一個部門可以有多個管理員</t>
    </r>
    <phoneticPr fontId="2" type="noConversion"/>
  </si>
  <si>
    <t>需求分析</t>
  </si>
  <si>
    <t>需求分析</t>
    <phoneticPr fontId="26" type="noConversion"/>
  </si>
  <si>
    <t>任務項次</t>
    <phoneticPr fontId="26" type="noConversion"/>
  </si>
  <si>
    <t>任務名稱</t>
    <phoneticPr fontId="26" type="noConversion"/>
  </si>
  <si>
    <t>IT責任人</t>
    <phoneticPr fontId="26" type="noConversion"/>
  </si>
  <si>
    <t>工期
（天）</t>
    <phoneticPr fontId="26" type="noConversion"/>
  </si>
  <si>
    <t>工時
(人天)</t>
    <phoneticPr fontId="26" type="noConversion"/>
  </si>
  <si>
    <t>WK32</t>
  </si>
  <si>
    <t>WK33</t>
  </si>
  <si>
    <t>1-2</t>
  </si>
  <si>
    <t>2-2</t>
  </si>
  <si>
    <t>系統架構設計</t>
    <phoneticPr fontId="26" type="noConversion"/>
  </si>
  <si>
    <t>丁艷鳳</t>
    <phoneticPr fontId="26" type="noConversion"/>
  </si>
  <si>
    <t>丁艷鳳</t>
    <phoneticPr fontId="26" type="noConversion"/>
  </si>
  <si>
    <t>3-2-1</t>
    <phoneticPr fontId="26" type="noConversion"/>
  </si>
  <si>
    <t>4-3</t>
  </si>
  <si>
    <t>4-4</t>
  </si>
  <si>
    <t>5</t>
    <phoneticPr fontId="26" type="noConversion"/>
  </si>
  <si>
    <t>5-2</t>
  </si>
  <si>
    <t>5-3</t>
  </si>
  <si>
    <t>1-1</t>
    <phoneticPr fontId="26" type="noConversion"/>
  </si>
  <si>
    <t>需求訪談</t>
    <phoneticPr fontId="26" type="noConversion"/>
  </si>
  <si>
    <t>1-3</t>
    <phoneticPr fontId="26" type="noConversion"/>
  </si>
  <si>
    <t>制定專案計畫</t>
    <phoneticPr fontId="26" type="noConversion"/>
  </si>
  <si>
    <t>2</t>
    <phoneticPr fontId="26" type="noConversion"/>
  </si>
  <si>
    <t>系統設計</t>
    <phoneticPr fontId="26" type="noConversion"/>
  </si>
  <si>
    <t>2-1</t>
    <phoneticPr fontId="26" type="noConversion"/>
  </si>
  <si>
    <t>3</t>
    <phoneticPr fontId="26" type="noConversion"/>
  </si>
  <si>
    <t>系統開發</t>
    <phoneticPr fontId="26" type="noConversion"/>
  </si>
  <si>
    <t>3-1-1</t>
    <phoneticPr fontId="26" type="noConversion"/>
  </si>
  <si>
    <t>3-3</t>
    <phoneticPr fontId="26" type="noConversion"/>
  </si>
  <si>
    <t>3-3-1</t>
    <phoneticPr fontId="26" type="noConversion"/>
  </si>
  <si>
    <t>3-3-3</t>
  </si>
  <si>
    <t>3-4</t>
    <phoneticPr fontId="26" type="noConversion"/>
  </si>
  <si>
    <t>3-4-1</t>
    <phoneticPr fontId="26" type="noConversion"/>
  </si>
  <si>
    <t>3-4-3</t>
  </si>
  <si>
    <t>3-4-4</t>
  </si>
  <si>
    <t>3-4-5</t>
  </si>
  <si>
    <t>3-4-6</t>
  </si>
  <si>
    <t>3-4-7</t>
  </si>
  <si>
    <t>4</t>
    <phoneticPr fontId="26" type="noConversion"/>
  </si>
  <si>
    <t>系統測試</t>
    <phoneticPr fontId="26" type="noConversion"/>
  </si>
  <si>
    <t>4-1</t>
    <phoneticPr fontId="26" type="noConversion"/>
  </si>
  <si>
    <t>系統測試執行</t>
    <phoneticPr fontId="26" type="noConversion"/>
  </si>
  <si>
    <t>査志勇、丁艷鳳</t>
    <phoneticPr fontId="26" type="noConversion"/>
  </si>
  <si>
    <t>4-2</t>
    <phoneticPr fontId="26" type="noConversion"/>
  </si>
  <si>
    <t>測試問題修訂</t>
    <phoneticPr fontId="26" type="noConversion"/>
  </si>
  <si>
    <t>ALL</t>
    <phoneticPr fontId="26" type="noConversion"/>
  </si>
  <si>
    <t>用戶測試執行</t>
    <phoneticPr fontId="26" type="noConversion"/>
  </si>
  <si>
    <t>KeyUser</t>
    <phoneticPr fontId="26" type="noConversion"/>
  </si>
  <si>
    <t>系統上線</t>
    <phoneticPr fontId="26" type="noConversion"/>
  </si>
  <si>
    <t>5-1</t>
    <phoneticPr fontId="26" type="noConversion"/>
  </si>
  <si>
    <t>資料配置及導入</t>
    <phoneticPr fontId="26" type="noConversion"/>
  </si>
  <si>
    <t>丁豔鳳</t>
    <phoneticPr fontId="26" type="noConversion"/>
  </si>
  <si>
    <t>正式系統部署</t>
    <phoneticPr fontId="26" type="noConversion"/>
  </si>
  <si>
    <t>系統正式上線</t>
    <phoneticPr fontId="26" type="noConversion"/>
  </si>
  <si>
    <t>圖例：</t>
    <phoneticPr fontId="26" type="noConversion"/>
  </si>
  <si>
    <t>計畫</t>
    <phoneticPr fontId="26" type="noConversion"/>
  </si>
  <si>
    <t>進行中</t>
    <phoneticPr fontId="26" type="noConversion"/>
  </si>
  <si>
    <t>已完成</t>
    <phoneticPr fontId="26" type="noConversion"/>
  </si>
  <si>
    <t>延遲</t>
    <phoneticPr fontId="26" type="noConversion"/>
  </si>
  <si>
    <t>任務管理</t>
    <phoneticPr fontId="26" type="noConversion"/>
  </si>
  <si>
    <t>待辦任務</t>
    <phoneticPr fontId="26" type="noConversion"/>
  </si>
  <si>
    <t>已辦任務</t>
    <phoneticPr fontId="26" type="noConversion"/>
  </si>
  <si>
    <t>3-5</t>
    <phoneticPr fontId="26" type="noConversion"/>
  </si>
  <si>
    <t>3-5-1</t>
    <phoneticPr fontId="26" type="noConversion"/>
  </si>
  <si>
    <t>3-5-2</t>
    <phoneticPr fontId="26" type="noConversion"/>
  </si>
  <si>
    <r>
      <rPr>
        <sz val="12"/>
        <color theme="0" tint="-0.499984740745262"/>
        <rFont val="新細明體"/>
        <family val="1"/>
        <charset val="136"/>
        <scheme val="minor"/>
      </rPr>
      <t>臨時文件（不要）</t>
    </r>
    <r>
      <rPr>
        <sz val="12"/>
        <color rgb="FFFF0000"/>
        <rFont val="新細明體"/>
        <family val="1"/>
        <charset val="136"/>
        <scheme val="minor"/>
      </rPr>
      <t xml:space="preserve">
</t>
    </r>
    <r>
      <rPr>
        <sz val="12"/>
        <rFont val="新細明體"/>
        <family val="1"/>
        <charset val="136"/>
        <scheme val="minor"/>
      </rPr>
      <t>文件編號：全部為大寫</t>
    </r>
    <r>
      <rPr>
        <sz val="12"/>
        <color rgb="FFFF0000"/>
        <rFont val="新細明體"/>
        <family val="1"/>
        <charset val="136"/>
        <scheme val="minor"/>
      </rPr>
      <t xml:space="preserve">
</t>
    </r>
    <r>
      <rPr>
        <sz val="12"/>
        <rFont val="新細明體"/>
        <family val="1"/>
        <charset val="136"/>
        <scheme val="minor"/>
      </rPr>
      <t>文件版本：全部為大寫，</t>
    </r>
    <r>
      <rPr>
        <sz val="12"/>
        <color rgb="FFFF0000"/>
        <rFont val="新細明體"/>
        <family val="1"/>
        <charset val="136"/>
        <scheme val="minor"/>
      </rPr>
      <t xml:space="preserve">默認A版，可以新增任意版本的嗎？
</t>
    </r>
    <r>
      <rPr>
        <sz val="12"/>
        <color theme="1"/>
        <rFont val="新細明體"/>
        <family val="1"/>
        <charset val="136"/>
        <scheme val="minor"/>
      </rPr>
      <t>文件名稱：</t>
    </r>
    <r>
      <rPr>
        <sz val="12"/>
        <color rgb="FFFF0000"/>
        <rFont val="新細明體"/>
        <family val="1"/>
        <charset val="136"/>
        <scheme val="minor"/>
      </rPr>
      <t xml:space="preserve">最大長度
申請人：當前賬號嗎？
</t>
    </r>
    <r>
      <rPr>
        <sz val="12"/>
        <rFont val="新細明體"/>
        <family val="1"/>
        <charset val="136"/>
        <scheme val="minor"/>
      </rPr>
      <t>總頁數：</t>
    </r>
    <r>
      <rPr>
        <sz val="12"/>
        <color rgb="FFFF0000"/>
        <rFont val="新細明體"/>
        <family val="1"/>
        <charset val="136"/>
        <scheme val="minor"/>
      </rPr>
      <t xml:space="preserve">
製作單位：當前人所在部門嗎？
文件類型：部門管理中紙檔類型</t>
    </r>
    <r>
      <rPr>
        <sz val="12"/>
        <color rgb="FFFF0000"/>
        <rFont val="新細明體"/>
        <family val="2"/>
        <scheme val="minor"/>
      </rPr>
      <t xml:space="preserve">OR包括電子檔
</t>
    </r>
    <r>
      <rPr>
        <sz val="12"/>
        <rFont val="新細明體"/>
        <family val="1"/>
        <charset val="136"/>
        <scheme val="minor"/>
      </rPr>
      <t>執行時間：當前日期</t>
    </r>
    <r>
      <rPr>
        <sz val="12"/>
        <rFont val="新細明體"/>
        <family val="2"/>
        <scheme val="minor"/>
      </rPr>
      <t xml:space="preserve">
</t>
    </r>
    <r>
      <rPr>
        <sz val="12"/>
        <color rgb="FFFF0000"/>
        <rFont val="新細明體"/>
        <family val="1"/>
        <charset val="136"/>
        <scheme val="minor"/>
      </rPr>
      <t>機種：選擇</t>
    </r>
    <r>
      <rPr>
        <sz val="12"/>
        <rFont val="新細明體"/>
        <family val="2"/>
        <scheme val="minor"/>
      </rPr>
      <t xml:space="preserve">
</t>
    </r>
    <r>
      <rPr>
        <sz val="12"/>
        <rFont val="新細明體"/>
        <family val="1"/>
        <charset val="136"/>
        <scheme val="minor"/>
      </rPr>
      <t>料號：
來源：DCC（不可修改）</t>
    </r>
    <phoneticPr fontId="2" type="noConversion"/>
  </si>
  <si>
    <r>
      <t xml:space="preserve">文件名稱
總頁數：
</t>
    </r>
    <r>
      <rPr>
        <sz val="12"/>
        <color rgb="FFFF0000"/>
        <rFont val="新細明體"/>
        <family val="1"/>
        <charset val="136"/>
        <scheme val="minor"/>
      </rPr>
      <t>到期日：默認當前日期，可以修改嗎？</t>
    </r>
    <r>
      <rPr>
        <sz val="12"/>
        <color theme="1"/>
        <rFont val="新細明體"/>
        <family val="1"/>
        <charset val="136"/>
        <scheme val="minor"/>
      </rPr>
      <t xml:space="preserve">
文件類型：
機種：
料號：</t>
    </r>
    <phoneticPr fontId="2" type="noConversion"/>
  </si>
  <si>
    <t>狀態變為已廢止（文件狀態：已廢止，可用）</t>
    <phoneticPr fontId="2" type="noConversion"/>
  </si>
  <si>
    <t>3-3-2</t>
    <phoneticPr fontId="26" type="noConversion"/>
  </si>
  <si>
    <t>3-6</t>
    <phoneticPr fontId="26" type="noConversion"/>
  </si>
  <si>
    <t>其他</t>
    <phoneticPr fontId="26" type="noConversion"/>
  </si>
  <si>
    <t>3-6-1</t>
    <phoneticPr fontId="26" type="noConversion"/>
  </si>
  <si>
    <t>其他</t>
    <phoneticPr fontId="2" type="noConversion"/>
  </si>
  <si>
    <t>丁艷鳳</t>
    <phoneticPr fontId="26" type="noConversion"/>
  </si>
  <si>
    <t>查志勇、丁艷鳳</t>
    <phoneticPr fontId="26" type="noConversion"/>
  </si>
  <si>
    <t>張冉</t>
    <phoneticPr fontId="26" type="noConversion"/>
  </si>
  <si>
    <t>文件模塊化</t>
    <phoneticPr fontId="26" type="noConversion"/>
  </si>
  <si>
    <t>簽核配置</t>
    <phoneticPr fontId="2" type="noConversion"/>
  </si>
  <si>
    <t>文件樹管理（創建，編輯，刪除，配置文件類型）</t>
    <phoneticPr fontId="2" type="noConversion"/>
  </si>
  <si>
    <t>文件類型管理</t>
    <phoneticPr fontId="26" type="noConversion"/>
  </si>
  <si>
    <t>文件屬性管理</t>
    <phoneticPr fontId="2" type="noConversion"/>
  </si>
  <si>
    <t>基礎參數管理</t>
    <phoneticPr fontId="2" type="noConversion"/>
  </si>
  <si>
    <t>系統管理</t>
    <phoneticPr fontId="26" type="noConversion"/>
  </si>
  <si>
    <t>證照到期提醒</t>
    <phoneticPr fontId="26" type="noConversion"/>
  </si>
  <si>
    <t>文件變更提醒</t>
    <phoneticPr fontId="26" type="noConversion"/>
  </si>
  <si>
    <t>文件變更通知單pdf</t>
    <phoneticPr fontId="26" type="noConversion"/>
  </si>
  <si>
    <t>變更履歷pdf</t>
    <phoneticPr fontId="26" type="noConversion"/>
  </si>
  <si>
    <t>體系文件</t>
    <phoneticPr fontId="26" type="noConversion"/>
  </si>
  <si>
    <t>文件發行後蓋章（發行章，秘密章，作廢章）</t>
    <phoneticPr fontId="26" type="noConversion"/>
  </si>
  <si>
    <t>主頁</t>
    <phoneticPr fontId="26" type="noConversion"/>
  </si>
  <si>
    <t>3-2-2</t>
    <phoneticPr fontId="26" type="noConversion"/>
  </si>
  <si>
    <t>登錄</t>
    <phoneticPr fontId="26" type="noConversion"/>
  </si>
  <si>
    <t>3-2</t>
    <phoneticPr fontId="26" type="noConversion"/>
  </si>
  <si>
    <t>3-1</t>
    <phoneticPr fontId="26" type="noConversion"/>
  </si>
  <si>
    <t>資料庫設計</t>
    <phoneticPr fontId="26" type="noConversion"/>
  </si>
  <si>
    <t>3-1-2</t>
    <phoneticPr fontId="26" type="noConversion"/>
  </si>
  <si>
    <t>系統首頁</t>
    <phoneticPr fontId="26" type="noConversion"/>
  </si>
  <si>
    <t>3-5-3</t>
    <phoneticPr fontId="26" type="noConversion"/>
  </si>
  <si>
    <t>3-5-4</t>
    <phoneticPr fontId="26" type="noConversion"/>
  </si>
  <si>
    <t>模塊化功能和系統整合</t>
    <phoneticPr fontId="26" type="noConversion"/>
  </si>
  <si>
    <t>3月</t>
    <phoneticPr fontId="26" type="noConversion"/>
  </si>
  <si>
    <t>4月</t>
    <phoneticPr fontId="26" type="noConversion"/>
  </si>
  <si>
    <t>5月</t>
  </si>
  <si>
    <t>6月</t>
    <phoneticPr fontId="26" type="noConversion"/>
  </si>
  <si>
    <t>7月</t>
    <phoneticPr fontId="26" type="noConversion"/>
  </si>
  <si>
    <t>8月</t>
    <phoneticPr fontId="26" type="noConversion"/>
  </si>
  <si>
    <t>WK9</t>
    <phoneticPr fontId="26" type="noConversion"/>
  </si>
  <si>
    <t>WK10</t>
    <phoneticPr fontId="26" type="noConversion"/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</si>
  <si>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</si>
  <si>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</si>
  <si>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</si>
  <si>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</si>
  <si>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</si>
  <si>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</si>
  <si>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</si>
  <si>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</si>
  <si>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</si>
  <si>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</si>
  <si>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</si>
  <si>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</si>
  <si>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</si>
  <si>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</si>
  <si>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</si>
  <si>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</si>
  <si>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</si>
  <si>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</si>
  <si>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</si>
  <si>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</si>
  <si>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</si>
  <si>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3-7</t>
    <phoneticPr fontId="26" type="noConversion"/>
  </si>
  <si>
    <t>3-7-1</t>
    <phoneticPr fontId="26" type="noConversion"/>
  </si>
  <si>
    <t>開發者管理</t>
    <phoneticPr fontId="26" type="noConversion"/>
  </si>
  <si>
    <t>功能導航設置</t>
    <phoneticPr fontId="26" type="noConversion"/>
  </si>
  <si>
    <t>系統設置</t>
    <phoneticPr fontId="26" type="noConversion"/>
  </si>
  <si>
    <t>3-6-2</t>
    <phoneticPr fontId="26" type="noConversion"/>
  </si>
  <si>
    <t>3-6-3</t>
  </si>
  <si>
    <t>語言管理</t>
    <phoneticPr fontId="26" type="noConversion"/>
  </si>
  <si>
    <t>友情鏈接管理</t>
    <phoneticPr fontId="26" type="noConversion"/>
  </si>
  <si>
    <t>公告管理管理</t>
    <phoneticPr fontId="26" type="noConversion"/>
  </si>
  <si>
    <t>李振</t>
    <phoneticPr fontId="26" type="noConversion"/>
  </si>
  <si>
    <t>3-4-2</t>
    <phoneticPr fontId="26" type="noConversion"/>
  </si>
  <si>
    <t>審核流程</t>
    <phoneticPr fontId="2" type="noConversion"/>
  </si>
  <si>
    <t>項目開發</t>
    <phoneticPr fontId="26" type="noConversion"/>
  </si>
  <si>
    <t>項目測試</t>
    <phoneticPr fontId="26" type="noConversion"/>
  </si>
  <si>
    <t>EHS架構圖</t>
    <phoneticPr fontId="2" type="noConversion"/>
  </si>
  <si>
    <t>3-5-5</t>
    <phoneticPr fontId="26" type="noConversion"/>
  </si>
  <si>
    <t>郵件模板管理</t>
    <phoneticPr fontId="26" type="noConversion"/>
  </si>
  <si>
    <t>角色管理（文件夾權限管理）</t>
    <phoneticPr fontId="2" type="noConversion"/>
  </si>
  <si>
    <t>3-5-6</t>
    <phoneticPr fontId="26" type="noConversion"/>
  </si>
  <si>
    <t>用戶管理</t>
    <phoneticPr fontId="26" type="noConversion"/>
  </si>
  <si>
    <t>租戶管理</t>
    <phoneticPr fontId="26" type="noConversion"/>
  </si>
  <si>
    <t>3-5-7</t>
    <phoneticPr fontId="26" type="noConversion"/>
  </si>
  <si>
    <t>文件管理（增刪該，簽核，瀏覽，下載，水印）</t>
    <phoneticPr fontId="2" type="noConversion"/>
  </si>
  <si>
    <t>文件類型管理</t>
    <phoneticPr fontId="2" type="noConversion"/>
  </si>
  <si>
    <t>文件屬性管理</t>
    <phoneticPr fontId="2" type="noConversion"/>
  </si>
  <si>
    <t>文件管理</t>
    <phoneticPr fontId="2" type="noConversion"/>
  </si>
  <si>
    <t>系統管理</t>
    <phoneticPr fontId="2" type="noConversion"/>
  </si>
  <si>
    <t>公告管理</t>
    <phoneticPr fontId="2" type="noConversion"/>
  </si>
  <si>
    <t>友情鏈接管理</t>
    <phoneticPr fontId="2" type="noConversion"/>
  </si>
  <si>
    <t>郵件模板管理</t>
    <phoneticPr fontId="2" type="noConversion"/>
  </si>
  <si>
    <t>用戶管理</t>
    <phoneticPr fontId="2" type="noConversion"/>
  </si>
  <si>
    <t>任務列表</t>
    <phoneticPr fontId="2" type="noConversion"/>
  </si>
  <si>
    <t>文件樹管理（創建，編輯，刪除，配置文件類型）</t>
    <phoneticPr fontId="2" type="noConversion"/>
  </si>
  <si>
    <t>角色管理（文件夾權限管理）</t>
    <phoneticPr fontId="2" type="noConversion"/>
  </si>
  <si>
    <t>簽核配置</t>
    <phoneticPr fontId="2" type="noConversion"/>
  </si>
  <si>
    <t>文件管理（增刪該，簽核，瀏覽，下載，水印）</t>
    <phoneticPr fontId="2" type="noConversion"/>
  </si>
  <si>
    <t>基礎參數管理</t>
    <phoneticPr fontId="2" type="noConversion"/>
  </si>
  <si>
    <t>證照到期提醒</t>
    <phoneticPr fontId="2" type="noConversion"/>
  </si>
  <si>
    <t>文件變更提醒</t>
    <phoneticPr fontId="2" type="noConversion"/>
  </si>
  <si>
    <t>開發者管理</t>
    <phoneticPr fontId="2" type="noConversion"/>
  </si>
  <si>
    <t>功能導航設置</t>
    <phoneticPr fontId="2" type="noConversion"/>
  </si>
  <si>
    <t>系統設置</t>
    <phoneticPr fontId="2" type="noConversion"/>
  </si>
  <si>
    <t>待辦任務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</si>
</sst>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;@"/>
  </numFmts>
  <fonts count="34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2"/>
      <scheme val="minor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12"/>
      <color rgb="FFFF0000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0" tint="-0.499984740745262"/>
      <name val="新細明體"/>
      <family val="1"/>
      <charset val="136"/>
      <scheme val="minor"/>
    </font>
    <font>
      <sz val="12"/>
      <color rgb="FF0000FF"/>
      <name val="新細明體"/>
      <family val="1"/>
      <charset val="136"/>
      <scheme val="minor"/>
    </font>
    <font>
      <sz val="12"/>
      <color theme="0" tint="-0.499984740745262"/>
      <name val="新細明體"/>
      <family val="2"/>
      <scheme val="minor"/>
    </font>
    <font>
      <sz val="12"/>
      <color theme="9" tint="-0.249977111117893"/>
      <name val="新細明體"/>
      <family val="2"/>
      <scheme val="minor"/>
    </font>
    <font>
      <sz val="12"/>
      <color theme="9" tint="-0.249977111117893"/>
      <name val="新細明體"/>
      <family val="1"/>
      <charset val="136"/>
      <scheme val="minor"/>
    </font>
    <font>
      <sz val="12"/>
      <color rgb="FF7030A0"/>
      <name val="新細明體"/>
      <family val="1"/>
      <charset val="136"/>
      <scheme val="minor"/>
    </font>
    <font>
      <u/>
      <sz val="12"/>
      <color theme="10"/>
      <name val="新細明體"/>
      <family val="2"/>
      <scheme val="minor"/>
    </font>
    <font>
      <u/>
      <sz val="12"/>
      <name val="新細明體"/>
      <family val="2"/>
      <scheme val="minor"/>
    </font>
    <font>
      <u/>
      <sz val="12"/>
      <name val="新細明體"/>
      <family val="1"/>
      <charset val="136"/>
      <scheme val="minor"/>
    </font>
    <font>
      <sz val="12"/>
      <color rgb="FF0000FF"/>
      <name val="新細明體"/>
      <family val="2"/>
      <scheme val="minor"/>
    </font>
    <font>
      <sz val="10"/>
      <color theme="1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1"/>
      <color rgb="FF0000FF"/>
      <name val="新細明體"/>
      <family val="1"/>
      <charset val="136"/>
      <scheme val="minor"/>
    </font>
    <font>
      <sz val="11"/>
      <color rgb="FF7030A0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0" tint="-0.499984740745262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b/>
      <sz val="10"/>
      <color theme="0"/>
      <name val="新細明體"/>
      <family val="1"/>
      <charset val="136"/>
      <scheme val="minor"/>
    </font>
    <font>
      <sz val="10"/>
      <color theme="0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u/>
      <sz val="10"/>
      <color theme="10"/>
      <name val="新細明體"/>
      <family val="2"/>
      <scheme val="minor"/>
    </font>
    <font>
      <sz val="12"/>
      <name val="新細明體"/>
      <family val="2"/>
      <charset val="136"/>
      <scheme val="minor"/>
    </font>
    <font>
      <sz val="10"/>
      <color theme="0" tint="-0.499984740745262"/>
      <name val="新細明體"/>
      <family val="1"/>
      <charset val="136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/>
    <xf numFmtId="0" fontId="1" fillId="0" borderId="0"/>
  </cellStyleXfs>
  <cellXfs count="13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9" xfId="0" applyBorder="1"/>
    <xf numFmtId="0" fontId="5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/>
    </xf>
    <xf numFmtId="0" fontId="12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1" xfId="1" applyFont="1" applyBorder="1" applyAlignment="1">
      <alignment horizontal="center"/>
    </xf>
    <xf numFmtId="0" fontId="18" fillId="0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76" fontId="28" fillId="5" borderId="1" xfId="0" applyNumberFormat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18" fillId="7" borderId="1" xfId="0" applyNumberFormat="1" applyFont="1" applyFill="1" applyBorder="1" applyAlignment="1">
      <alignment horizontal="left" vertical="center"/>
    </xf>
    <xf numFmtId="0" fontId="18" fillId="7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/>
    </xf>
    <xf numFmtId="0" fontId="18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9" fontId="18" fillId="0" borderId="1" xfId="0" applyNumberFormat="1" applyFont="1" applyFill="1" applyBorder="1" applyAlignment="1">
      <alignment horizontal="left" vertical="center" indent="1"/>
    </xf>
    <xf numFmtId="0" fontId="18" fillId="0" borderId="1" xfId="2" applyFont="1" applyFill="1" applyBorder="1"/>
    <xf numFmtId="0" fontId="18" fillId="0" borderId="1" xfId="2" applyFont="1" applyFill="1" applyBorder="1" applyAlignment="1">
      <alignment horizontal="center"/>
    </xf>
    <xf numFmtId="176" fontId="1" fillId="8" borderId="1" xfId="2" applyNumberFormat="1" applyFill="1" applyBorder="1"/>
    <xf numFmtId="176" fontId="1" fillId="0" borderId="1" xfId="2" applyNumberFormat="1" applyFill="1" applyBorder="1"/>
    <xf numFmtId="0" fontId="18" fillId="7" borderId="1" xfId="0" applyNumberFormat="1" applyFont="1" applyFill="1" applyBorder="1" applyAlignment="1">
      <alignment horizontal="center" vertical="center"/>
    </xf>
    <xf numFmtId="49" fontId="18" fillId="9" borderId="1" xfId="0" applyNumberFormat="1" applyFont="1" applyFill="1" applyBorder="1" applyAlignment="1">
      <alignment horizontal="left" vertical="center" indent="1"/>
    </xf>
    <xf numFmtId="0" fontId="18" fillId="9" borderId="1" xfId="0" applyFont="1" applyFill="1" applyBorder="1" applyAlignment="1">
      <alignment horizontal="left" vertical="center" wrapText="1"/>
    </xf>
    <xf numFmtId="0" fontId="18" fillId="9" borderId="1" xfId="0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left" vertical="center" indent="2"/>
    </xf>
    <xf numFmtId="176" fontId="1" fillId="10" borderId="1" xfId="2" applyNumberFormat="1" applyFill="1" applyBorder="1"/>
    <xf numFmtId="0" fontId="18" fillId="9" borderId="1" xfId="0" applyFont="1" applyFill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wrapText="1"/>
    </xf>
    <xf numFmtId="0" fontId="18" fillId="4" borderId="2" xfId="0" applyFont="1" applyFill="1" applyBorder="1" applyAlignment="1">
      <alignment horizontal="left" vertical="center" wrapText="1"/>
    </xf>
    <xf numFmtId="0" fontId="18" fillId="4" borderId="1" xfId="2" applyFont="1" applyFill="1" applyBorder="1" applyAlignment="1">
      <alignment horizontal="center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49" fontId="29" fillId="0" borderId="0" xfId="0" applyNumberFormat="1" applyFont="1" applyFill="1" applyBorder="1" applyAlignment="1">
      <alignment horizontal="left" vertical="center" indent="1"/>
    </xf>
    <xf numFmtId="0" fontId="0" fillId="0" borderId="0" xfId="0" applyAlignment="1">
      <alignment vertical="center" wrapText="1"/>
    </xf>
    <xf numFmtId="0" fontId="18" fillId="0" borderId="0" xfId="0" applyFont="1" applyFill="1" applyBorder="1" applyAlignment="1">
      <alignment horizontal="left" vertical="center" wrapText="1"/>
    </xf>
    <xf numFmtId="176" fontId="1" fillId="11" borderId="1" xfId="2" applyNumberFormat="1" applyFill="1" applyBorder="1"/>
    <xf numFmtId="0" fontId="0" fillId="12" borderId="0" xfId="0" applyFill="1" applyAlignment="1">
      <alignment vertical="center"/>
    </xf>
    <xf numFmtId="0" fontId="3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3" borderId="1" xfId="0" applyFill="1" applyBorder="1" applyAlignment="1">
      <alignment vertical="top"/>
    </xf>
    <xf numFmtId="0" fontId="3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vertical="top" wrapText="1"/>
    </xf>
    <xf numFmtId="0" fontId="5" fillId="1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17" fillId="0" borderId="1" xfId="0" applyFont="1" applyBorder="1"/>
    <xf numFmtId="0" fontId="9" fillId="0" borderId="1" xfId="0" applyFont="1" applyBorder="1"/>
    <xf numFmtId="0" fontId="31" fillId="9" borderId="1" xfId="1" applyFont="1" applyFill="1" applyBorder="1" applyAlignment="1">
      <alignment horizontal="left" vertical="center" wrapText="1"/>
    </xf>
    <xf numFmtId="0" fontId="9" fillId="0" borderId="1" xfId="0" applyFont="1" applyFill="1" applyBorder="1"/>
    <xf numFmtId="0" fontId="0" fillId="0" borderId="9" xfId="0" applyBorder="1" applyAlignment="1">
      <alignment wrapText="1"/>
    </xf>
    <xf numFmtId="0" fontId="10" fillId="0" borderId="0" xfId="0" applyFont="1"/>
    <xf numFmtId="0" fontId="0" fillId="0" borderId="0" xfId="0" applyAlignment="1">
      <alignment vertical="top" wrapText="1"/>
    </xf>
    <xf numFmtId="0" fontId="0" fillId="10" borderId="1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6" fontId="32" fillId="8" borderId="1" xfId="2" applyNumberFormat="1" applyFont="1" applyFill="1" applyBorder="1"/>
    <xf numFmtId="176" fontId="1" fillId="14" borderId="1" xfId="2" applyNumberFormat="1" applyFill="1" applyBorder="1"/>
    <xf numFmtId="176" fontId="1" fillId="15" borderId="1" xfId="2" applyNumberFormat="1" applyFill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vertical="top"/>
    </xf>
    <xf numFmtId="0" fontId="5" fillId="0" borderId="1" xfId="0" applyFont="1" applyBorder="1"/>
    <xf numFmtId="49" fontId="18" fillId="6" borderId="1" xfId="0" applyNumberFormat="1" applyFont="1" applyFill="1" applyBorder="1" applyAlignment="1">
      <alignment horizontal="left" vertical="center"/>
    </xf>
    <xf numFmtId="0" fontId="1" fillId="6" borderId="14" xfId="2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6" borderId="9" xfId="2" applyFill="1" applyBorder="1" applyAlignment="1">
      <alignment horizontal="center"/>
    </xf>
    <xf numFmtId="49" fontId="27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 wrapText="1"/>
    </xf>
    <xf numFmtId="0" fontId="27" fillId="5" borderId="3" xfId="0" applyFont="1" applyFill="1" applyBorder="1" applyAlignment="1">
      <alignment horizontal="center" vertical="center"/>
    </xf>
    <xf numFmtId="176" fontId="27" fillId="5" borderId="1" xfId="0" applyNumberFormat="1" applyFont="1" applyFill="1" applyBorder="1" applyAlignment="1">
      <alignment horizontal="center" vertical="center"/>
    </xf>
    <xf numFmtId="176" fontId="27" fillId="5" borderId="14" xfId="0" applyNumberFormat="1" applyFont="1" applyFill="1" applyBorder="1" applyAlignment="1">
      <alignment horizontal="center" vertical="center"/>
    </xf>
    <xf numFmtId="176" fontId="27" fillId="5" borderId="15" xfId="0" applyNumberFormat="1" applyFont="1" applyFill="1" applyBorder="1" applyAlignment="1">
      <alignment horizontal="center" vertical="center"/>
    </xf>
    <xf numFmtId="176" fontId="27" fillId="5" borderId="9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2" borderId="14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1" xfId="0" applyFont="1" applyBorder="1" applyAlignment="1">
      <alignment vertical="top" wrapText="1"/>
    </xf>
    <xf numFmtId="0" fontId="33" fillId="4" borderId="1" xfId="0" applyFont="1" applyFill="1" applyBorder="1" applyAlignment="1">
      <alignment horizontal="left" vertical="center" wrapText="1"/>
    </xf>
  </cellXfs>
  <cellStyles count="3">
    <cellStyle name="一般" xfId="0" builtinId="0"/>
    <cellStyle name="一般_工作表1" xfId="2"/>
    <cellStyle name="超連結" xfId="1" builtinId="8"/>
  </cellStyles>
  <dxfs count="0"/>
  <tableStyles count="0" defaultTableStyle="TableStyleMedium2" defaultPivotStyle="PivotStyleMedium9"/>
  <colors>
    <mruColors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&#25991;&#20214;&#20998;&#30332;&#26550;&#27083;&#22294;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5991;&#20214;&#20998;&#30332;&#26550;&#27083;&#22294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5991;&#20214;&#20998;&#30332;&#26550;&#27083;&#22294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5991;&#20214;&#20998;&#30332;&#26550;&#27083;&#22294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5991;&#20214;&#20998;&#30332;&#26550;&#27083;&#22294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5991;&#20214;&#20998;&#30332;&#26550;&#27083;&#22294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31</xdr:row>
      <xdr:rowOff>0</xdr:rowOff>
    </xdr:from>
    <xdr:to>
      <xdr:col>34</xdr:col>
      <xdr:colOff>293266</xdr:colOff>
      <xdr:row>40</xdr:row>
      <xdr:rowOff>209288</xdr:rowOff>
    </xdr:to>
    <xdr:pic>
      <xdr:nvPicPr>
        <xdr:cNvPr id="5" name="圖片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63975" y="12573000"/>
          <a:ext cx="16066666" cy="2095238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0</xdr:row>
      <xdr:rowOff>57151</xdr:rowOff>
    </xdr:from>
    <xdr:to>
      <xdr:col>1</xdr:col>
      <xdr:colOff>390525</xdr:colOff>
      <xdr:row>1</xdr:row>
      <xdr:rowOff>133351</xdr:rowOff>
    </xdr:to>
    <xdr:sp macro="" textlink="">
      <xdr:nvSpPr>
        <xdr:cNvPr id="8" name="矩形 7">
          <a:hlinkClick xmlns:r="http://schemas.openxmlformats.org/officeDocument/2006/relationships" r:id="rId2"/>
        </xdr:cNvPr>
        <xdr:cNvSpPr/>
      </xdr:nvSpPr>
      <xdr:spPr>
        <a:xfrm>
          <a:off x="142875" y="57151"/>
          <a:ext cx="752475" cy="2857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返回主頁</a:t>
          </a:r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66675</xdr:rowOff>
    </xdr:from>
    <xdr:to>
      <xdr:col>1</xdr:col>
      <xdr:colOff>381000</xdr:colOff>
      <xdr:row>1</xdr:row>
      <xdr:rowOff>142875</xdr:rowOff>
    </xdr:to>
    <xdr:sp macro="" textlink="">
      <xdr:nvSpPr>
        <xdr:cNvPr id="6" name="矩形 5">
          <a:hlinkClick xmlns:r="http://schemas.openxmlformats.org/officeDocument/2006/relationships" r:id="rId1"/>
        </xdr:cNvPr>
        <xdr:cNvSpPr/>
      </xdr:nvSpPr>
      <xdr:spPr>
        <a:xfrm>
          <a:off x="133350" y="66675"/>
          <a:ext cx="752475" cy="2857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返回主頁</a:t>
          </a:r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1</xdr:col>
      <xdr:colOff>171450</xdr:colOff>
      <xdr:row>1</xdr:row>
      <xdr:rowOff>133350</xdr:rowOff>
    </xdr:to>
    <xdr:sp macro="" textlink=""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104775" y="57150"/>
          <a:ext cx="752475" cy="2857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返回主頁</a:t>
          </a:r>
          <a:endParaRPr lang="zh-TW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1</xdr:col>
      <xdr:colOff>171450</xdr:colOff>
      <xdr:row>1</xdr:row>
      <xdr:rowOff>133350</xdr:rowOff>
    </xdr:to>
    <xdr:sp macro="" textlink=""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104775" y="57150"/>
          <a:ext cx="752475" cy="2857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返回主頁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1</xdr:col>
      <xdr:colOff>171450</xdr:colOff>
      <xdr:row>1</xdr:row>
      <xdr:rowOff>133350</xdr:rowOff>
    </xdr:to>
    <xdr:sp macro="" textlink=""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104775" y="57150"/>
          <a:ext cx="752475" cy="2857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返回主頁</a:t>
          </a:r>
          <a:endParaRPr lang="zh-TW" altLang="en-US" sz="1100"/>
        </a:p>
      </xdr:txBody>
    </xdr:sp>
    <xdr:clientData/>
  </xdr:twoCellAnchor>
  <xdr:twoCellAnchor>
    <xdr:from>
      <xdr:col>2</xdr:col>
      <xdr:colOff>838200</xdr:colOff>
      <xdr:row>3</xdr:row>
      <xdr:rowOff>171450</xdr:rowOff>
    </xdr:from>
    <xdr:to>
      <xdr:col>3</xdr:col>
      <xdr:colOff>323850</xdr:colOff>
      <xdr:row>4</xdr:row>
      <xdr:rowOff>285750</xdr:rowOff>
    </xdr:to>
    <xdr:sp macro="" textlink="">
      <xdr:nvSpPr>
        <xdr:cNvPr id="3" name="矩形 2"/>
        <xdr:cNvSpPr/>
      </xdr:nvSpPr>
      <xdr:spPr>
        <a:xfrm>
          <a:off x="3486150" y="8001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申請人</a:t>
          </a:r>
          <a:endParaRPr lang="zh-TW" altLang="en-US" sz="1100"/>
        </a:p>
      </xdr:txBody>
    </xdr:sp>
    <xdr:clientData/>
  </xdr:twoCellAnchor>
  <xdr:twoCellAnchor>
    <xdr:from>
      <xdr:col>2</xdr:col>
      <xdr:colOff>838200</xdr:colOff>
      <xdr:row>4</xdr:row>
      <xdr:rowOff>723900</xdr:rowOff>
    </xdr:from>
    <xdr:to>
      <xdr:col>3</xdr:col>
      <xdr:colOff>323850</xdr:colOff>
      <xdr:row>4</xdr:row>
      <xdr:rowOff>1047750</xdr:rowOff>
    </xdr:to>
    <xdr:sp macro="" textlink="">
      <xdr:nvSpPr>
        <xdr:cNvPr id="4" name="矩形 3"/>
        <xdr:cNvSpPr/>
      </xdr:nvSpPr>
      <xdr:spPr>
        <a:xfrm>
          <a:off x="3486150" y="15621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100"/>
            <a:t>審核</a:t>
          </a:r>
          <a:r>
            <a:rPr lang="en-US" altLang="zh-CN" sz="1100"/>
            <a:t>1</a:t>
          </a:r>
          <a:endParaRPr lang="zh-TW" altLang="en-US" sz="1100"/>
        </a:p>
      </xdr:txBody>
    </xdr:sp>
    <xdr:clientData/>
  </xdr:twoCellAnchor>
  <xdr:twoCellAnchor>
    <xdr:from>
      <xdr:col>2</xdr:col>
      <xdr:colOff>838200</xdr:colOff>
      <xdr:row>4</xdr:row>
      <xdr:rowOff>1457325</xdr:rowOff>
    </xdr:from>
    <xdr:to>
      <xdr:col>3</xdr:col>
      <xdr:colOff>323850</xdr:colOff>
      <xdr:row>4</xdr:row>
      <xdr:rowOff>1781175</xdr:rowOff>
    </xdr:to>
    <xdr:sp macro="" textlink="">
      <xdr:nvSpPr>
        <xdr:cNvPr id="5" name="矩形 4"/>
        <xdr:cNvSpPr/>
      </xdr:nvSpPr>
      <xdr:spPr>
        <a:xfrm>
          <a:off x="3486150" y="229552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</a:t>
          </a:r>
          <a:r>
            <a:rPr lang="zh-CN" altLang="zh-TW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審核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zh-TW" altLang="zh-TW">
            <a:effectLst/>
          </a:endParaRPr>
        </a:p>
      </xdr:txBody>
    </xdr:sp>
    <xdr:clientData/>
  </xdr:twoCellAnchor>
  <xdr:twoCellAnchor>
    <xdr:from>
      <xdr:col>2</xdr:col>
      <xdr:colOff>838200</xdr:colOff>
      <xdr:row>5</xdr:row>
      <xdr:rowOff>57150</xdr:rowOff>
    </xdr:from>
    <xdr:to>
      <xdr:col>3</xdr:col>
      <xdr:colOff>323850</xdr:colOff>
      <xdr:row>5</xdr:row>
      <xdr:rowOff>381000</xdr:rowOff>
    </xdr:to>
    <xdr:sp macro="" textlink="">
      <xdr:nvSpPr>
        <xdr:cNvPr id="6" name="矩形 5"/>
        <xdr:cNvSpPr/>
      </xdr:nvSpPr>
      <xdr:spPr>
        <a:xfrm>
          <a:off x="3486150" y="30384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審核</a:t>
          </a:r>
          <a:r>
            <a:rPr lang="en-US" altLang="zh-CN" sz="1100"/>
            <a:t>3</a:t>
          </a:r>
          <a:endParaRPr lang="zh-TW" altLang="en-US" sz="1100"/>
        </a:p>
      </xdr:txBody>
    </xdr:sp>
    <xdr:clientData/>
  </xdr:twoCellAnchor>
  <xdr:twoCellAnchor>
    <xdr:from>
      <xdr:col>2</xdr:col>
      <xdr:colOff>1485900</xdr:colOff>
      <xdr:row>4</xdr:row>
      <xdr:rowOff>285750</xdr:rowOff>
    </xdr:from>
    <xdr:to>
      <xdr:col>2</xdr:col>
      <xdr:colOff>1485900</xdr:colOff>
      <xdr:row>4</xdr:row>
      <xdr:rowOff>723900</xdr:rowOff>
    </xdr:to>
    <xdr:cxnSp macro="">
      <xdr:nvCxnSpPr>
        <xdr:cNvPr id="7" name="直線單箭頭接點 6"/>
        <xdr:cNvCxnSpPr>
          <a:stCxn id="3" idx="2"/>
          <a:endCxn id="4" idx="0"/>
        </xdr:cNvCxnSpPr>
      </xdr:nvCxnSpPr>
      <xdr:spPr>
        <a:xfrm>
          <a:off x="4133850" y="1123950"/>
          <a:ext cx="0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1485900</xdr:colOff>
      <xdr:row>4</xdr:row>
      <xdr:rowOff>1047750</xdr:rowOff>
    </xdr:from>
    <xdr:to>
      <xdr:col>2</xdr:col>
      <xdr:colOff>1485900</xdr:colOff>
      <xdr:row>4</xdr:row>
      <xdr:rowOff>1457325</xdr:rowOff>
    </xdr:to>
    <xdr:cxnSp macro="">
      <xdr:nvCxnSpPr>
        <xdr:cNvPr id="8" name="直線單箭頭接點 7"/>
        <xdr:cNvCxnSpPr>
          <a:stCxn id="4" idx="2"/>
          <a:endCxn id="5" idx="0"/>
        </xdr:cNvCxnSpPr>
      </xdr:nvCxnSpPr>
      <xdr:spPr>
        <a:xfrm>
          <a:off x="4133850" y="1885950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1485900</xdr:colOff>
      <xdr:row>4</xdr:row>
      <xdr:rowOff>1781175</xdr:rowOff>
    </xdr:from>
    <xdr:to>
      <xdr:col>2</xdr:col>
      <xdr:colOff>1485900</xdr:colOff>
      <xdr:row>5</xdr:row>
      <xdr:rowOff>57150</xdr:rowOff>
    </xdr:to>
    <xdr:cxnSp macro="">
      <xdr:nvCxnSpPr>
        <xdr:cNvPr id="9" name="直線單箭頭接點 8"/>
        <xdr:cNvCxnSpPr>
          <a:stCxn id="5" idx="2"/>
          <a:endCxn id="6" idx="0"/>
        </xdr:cNvCxnSpPr>
      </xdr:nvCxnSpPr>
      <xdr:spPr>
        <a:xfrm>
          <a:off x="4133850" y="2619375"/>
          <a:ext cx="0" cy="419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4</xdr:row>
      <xdr:rowOff>123825</xdr:rowOff>
    </xdr:from>
    <xdr:to>
      <xdr:col>3</xdr:col>
      <xdr:colOff>336550</xdr:colOff>
      <xdr:row>4</xdr:row>
      <xdr:rowOff>885825</xdr:rowOff>
    </xdr:to>
    <xdr:cxnSp macro="">
      <xdr:nvCxnSpPr>
        <xdr:cNvPr id="10" name="肘形接點 9"/>
        <xdr:cNvCxnSpPr>
          <a:stCxn id="4" idx="3"/>
          <a:endCxn id="3" idx="3"/>
        </xdr:cNvCxnSpPr>
      </xdr:nvCxnSpPr>
      <xdr:spPr>
        <a:xfrm flipV="1">
          <a:off x="4781550" y="962025"/>
          <a:ext cx="12700" cy="762000"/>
        </a:xfrm>
        <a:prstGeom prst="bentConnector3">
          <a:avLst>
            <a:gd name="adj1" fmla="val 1800000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4</xdr:row>
      <xdr:rowOff>123825</xdr:rowOff>
    </xdr:from>
    <xdr:to>
      <xdr:col>3</xdr:col>
      <xdr:colOff>336550</xdr:colOff>
      <xdr:row>4</xdr:row>
      <xdr:rowOff>1619250</xdr:rowOff>
    </xdr:to>
    <xdr:cxnSp macro="">
      <xdr:nvCxnSpPr>
        <xdr:cNvPr id="11" name="肘形接點 10"/>
        <xdr:cNvCxnSpPr>
          <a:stCxn id="5" idx="3"/>
          <a:endCxn id="3" idx="3"/>
        </xdr:cNvCxnSpPr>
      </xdr:nvCxnSpPr>
      <xdr:spPr>
        <a:xfrm flipV="1">
          <a:off x="4781550" y="962025"/>
          <a:ext cx="12700" cy="1495425"/>
        </a:xfrm>
        <a:prstGeom prst="bentConnector3">
          <a:avLst>
            <a:gd name="adj1" fmla="val 3225000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4</xdr:row>
      <xdr:rowOff>123825</xdr:rowOff>
    </xdr:from>
    <xdr:to>
      <xdr:col>3</xdr:col>
      <xdr:colOff>336550</xdr:colOff>
      <xdr:row>5</xdr:row>
      <xdr:rowOff>219075</xdr:rowOff>
    </xdr:to>
    <xdr:cxnSp macro="">
      <xdr:nvCxnSpPr>
        <xdr:cNvPr id="12" name="肘形接點 11"/>
        <xdr:cNvCxnSpPr>
          <a:stCxn id="6" idx="3"/>
          <a:endCxn id="3" idx="3"/>
        </xdr:cNvCxnSpPr>
      </xdr:nvCxnSpPr>
      <xdr:spPr>
        <a:xfrm flipV="1">
          <a:off x="4781550" y="962025"/>
          <a:ext cx="12700" cy="2238375"/>
        </a:xfrm>
        <a:prstGeom prst="bentConnector3">
          <a:avLst>
            <a:gd name="adj1" fmla="val 4650000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847725</xdr:colOff>
      <xdr:row>5</xdr:row>
      <xdr:rowOff>771525</xdr:rowOff>
    </xdr:from>
    <xdr:to>
      <xdr:col>3</xdr:col>
      <xdr:colOff>333375</xdr:colOff>
      <xdr:row>5</xdr:row>
      <xdr:rowOff>1095375</xdr:rowOff>
    </xdr:to>
    <xdr:sp macro="" textlink="">
      <xdr:nvSpPr>
        <xdr:cNvPr id="13" name="矩形 12"/>
        <xdr:cNvSpPr/>
      </xdr:nvSpPr>
      <xdr:spPr>
        <a:xfrm>
          <a:off x="3495675" y="375285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審核</a:t>
          </a:r>
          <a:r>
            <a:rPr lang="en-US" altLang="zh-CN" sz="1100"/>
            <a:t>4</a:t>
          </a:r>
          <a:endParaRPr lang="zh-TW" altLang="en-US" sz="1100"/>
        </a:p>
      </xdr:txBody>
    </xdr:sp>
    <xdr:clientData/>
  </xdr:twoCellAnchor>
  <xdr:twoCellAnchor>
    <xdr:from>
      <xdr:col>2</xdr:col>
      <xdr:colOff>809625</xdr:colOff>
      <xdr:row>5</xdr:row>
      <xdr:rowOff>1504950</xdr:rowOff>
    </xdr:from>
    <xdr:to>
      <xdr:col>3</xdr:col>
      <xdr:colOff>295275</xdr:colOff>
      <xdr:row>5</xdr:row>
      <xdr:rowOff>1828800</xdr:rowOff>
    </xdr:to>
    <xdr:sp macro="" textlink="">
      <xdr:nvSpPr>
        <xdr:cNvPr id="14" name="矩形 13"/>
        <xdr:cNvSpPr/>
      </xdr:nvSpPr>
      <xdr:spPr>
        <a:xfrm>
          <a:off x="3457575" y="44862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審核</a:t>
          </a:r>
          <a:r>
            <a:rPr lang="en-US" altLang="zh-CN" sz="1100"/>
            <a:t>5</a:t>
          </a:r>
          <a:endParaRPr lang="zh-TW" altLang="en-US" sz="1100"/>
        </a:p>
      </xdr:txBody>
    </xdr:sp>
    <xdr:clientData/>
  </xdr:twoCellAnchor>
  <xdr:twoCellAnchor>
    <xdr:from>
      <xdr:col>2</xdr:col>
      <xdr:colOff>1485900</xdr:colOff>
      <xdr:row>5</xdr:row>
      <xdr:rowOff>371475</xdr:rowOff>
    </xdr:from>
    <xdr:to>
      <xdr:col>2</xdr:col>
      <xdr:colOff>1485900</xdr:colOff>
      <xdr:row>5</xdr:row>
      <xdr:rowOff>781050</xdr:rowOff>
    </xdr:to>
    <xdr:cxnSp macro="">
      <xdr:nvCxnSpPr>
        <xdr:cNvPr id="15" name="直線單箭頭接點 14"/>
        <xdr:cNvCxnSpPr/>
      </xdr:nvCxnSpPr>
      <xdr:spPr>
        <a:xfrm>
          <a:off x="4133850" y="3352800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1457325</xdr:colOff>
      <xdr:row>5</xdr:row>
      <xdr:rowOff>1095375</xdr:rowOff>
    </xdr:from>
    <xdr:to>
      <xdr:col>2</xdr:col>
      <xdr:colOff>1457325</xdr:colOff>
      <xdr:row>5</xdr:row>
      <xdr:rowOff>1504950</xdr:rowOff>
    </xdr:to>
    <xdr:cxnSp macro="">
      <xdr:nvCxnSpPr>
        <xdr:cNvPr id="16" name="直線單箭頭接點 15"/>
        <xdr:cNvCxnSpPr/>
      </xdr:nvCxnSpPr>
      <xdr:spPr>
        <a:xfrm>
          <a:off x="4105275" y="4076700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323850</xdr:colOff>
      <xdr:row>4</xdr:row>
      <xdr:rowOff>123825</xdr:rowOff>
    </xdr:from>
    <xdr:to>
      <xdr:col>3</xdr:col>
      <xdr:colOff>333375</xdr:colOff>
      <xdr:row>5</xdr:row>
      <xdr:rowOff>933450</xdr:rowOff>
    </xdr:to>
    <xdr:cxnSp macro="">
      <xdr:nvCxnSpPr>
        <xdr:cNvPr id="25" name="肘形接點 24"/>
        <xdr:cNvCxnSpPr>
          <a:stCxn id="13" idx="3"/>
          <a:endCxn id="3" idx="3"/>
        </xdr:cNvCxnSpPr>
      </xdr:nvCxnSpPr>
      <xdr:spPr>
        <a:xfrm flipH="1" flipV="1">
          <a:off x="4781550" y="962025"/>
          <a:ext cx="9525" cy="2952750"/>
        </a:xfrm>
        <a:prstGeom prst="bentConnector3">
          <a:avLst>
            <a:gd name="adj1" fmla="val -7900000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295275</xdr:colOff>
      <xdr:row>4</xdr:row>
      <xdr:rowOff>123825</xdr:rowOff>
    </xdr:from>
    <xdr:to>
      <xdr:col>3</xdr:col>
      <xdr:colOff>323850</xdr:colOff>
      <xdr:row>5</xdr:row>
      <xdr:rowOff>1666875</xdr:rowOff>
    </xdr:to>
    <xdr:cxnSp macro="">
      <xdr:nvCxnSpPr>
        <xdr:cNvPr id="28" name="肘形接點 27"/>
        <xdr:cNvCxnSpPr>
          <a:stCxn id="14" idx="3"/>
          <a:endCxn id="3" idx="3"/>
        </xdr:cNvCxnSpPr>
      </xdr:nvCxnSpPr>
      <xdr:spPr>
        <a:xfrm flipV="1">
          <a:off x="4752975" y="962025"/>
          <a:ext cx="28575" cy="3686175"/>
        </a:xfrm>
        <a:prstGeom prst="bentConnector3">
          <a:avLst>
            <a:gd name="adj1" fmla="val 3400000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781050</xdr:colOff>
      <xdr:row>5</xdr:row>
      <xdr:rowOff>2190750</xdr:rowOff>
    </xdr:from>
    <xdr:to>
      <xdr:col>3</xdr:col>
      <xdr:colOff>266700</xdr:colOff>
      <xdr:row>5</xdr:row>
      <xdr:rowOff>2514600</xdr:rowOff>
    </xdr:to>
    <xdr:sp macro="" textlink="">
      <xdr:nvSpPr>
        <xdr:cNvPr id="19" name="矩形 18"/>
        <xdr:cNvSpPr/>
      </xdr:nvSpPr>
      <xdr:spPr>
        <a:xfrm>
          <a:off x="3429000" y="51720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/>
            <a:t>審核</a:t>
          </a:r>
          <a:r>
            <a:rPr lang="en-US" altLang="zh-CN" sz="1100"/>
            <a:t>6</a:t>
          </a:r>
          <a:endParaRPr lang="zh-TW" altLang="en-US" sz="1100"/>
        </a:p>
      </xdr:txBody>
    </xdr:sp>
    <xdr:clientData/>
  </xdr:twoCellAnchor>
  <xdr:twoCellAnchor>
    <xdr:from>
      <xdr:col>2</xdr:col>
      <xdr:colOff>1447800</xdr:colOff>
      <xdr:row>5</xdr:row>
      <xdr:rowOff>1819275</xdr:rowOff>
    </xdr:from>
    <xdr:to>
      <xdr:col>2</xdr:col>
      <xdr:colOff>1447800</xdr:colOff>
      <xdr:row>5</xdr:row>
      <xdr:rowOff>2228850</xdr:rowOff>
    </xdr:to>
    <xdr:cxnSp macro="">
      <xdr:nvCxnSpPr>
        <xdr:cNvPr id="20" name="直線單箭頭接點 19"/>
        <xdr:cNvCxnSpPr/>
      </xdr:nvCxnSpPr>
      <xdr:spPr>
        <a:xfrm>
          <a:off x="4095750" y="4800600"/>
          <a:ext cx="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4</xdr:row>
      <xdr:rowOff>123825</xdr:rowOff>
    </xdr:from>
    <xdr:to>
      <xdr:col>3</xdr:col>
      <xdr:colOff>323850</xdr:colOff>
      <xdr:row>5</xdr:row>
      <xdr:rowOff>2352675</xdr:rowOff>
    </xdr:to>
    <xdr:cxnSp macro="">
      <xdr:nvCxnSpPr>
        <xdr:cNvPr id="21" name="肘形接點 20"/>
        <xdr:cNvCxnSpPr>
          <a:stCxn id="19" idx="3"/>
          <a:endCxn id="3" idx="3"/>
        </xdr:cNvCxnSpPr>
      </xdr:nvCxnSpPr>
      <xdr:spPr>
        <a:xfrm flipV="1">
          <a:off x="4724400" y="962025"/>
          <a:ext cx="57150" cy="4371975"/>
        </a:xfrm>
        <a:prstGeom prst="bentConnector3">
          <a:avLst>
            <a:gd name="adj1" fmla="val 2083333"/>
          </a:avLst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57150</xdr:rowOff>
    </xdr:from>
    <xdr:to>
      <xdr:col>1</xdr:col>
      <xdr:colOff>171450</xdr:colOff>
      <xdr:row>1</xdr:row>
      <xdr:rowOff>133350</xdr:rowOff>
    </xdr:to>
    <xdr:sp macro="" textlink="">
      <xdr:nvSpPr>
        <xdr:cNvPr id="2" name="矩形 1">
          <a:hlinkClick xmlns:r="http://schemas.openxmlformats.org/officeDocument/2006/relationships" r:id="rId1"/>
        </xdr:cNvPr>
        <xdr:cNvSpPr/>
      </xdr:nvSpPr>
      <xdr:spPr>
        <a:xfrm>
          <a:off x="104775" y="57150"/>
          <a:ext cx="752475" cy="285750"/>
        </a:xfrm>
        <a:prstGeom prst="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返回主頁</a:t>
          </a:r>
          <a:endParaRPr lang="zh-TW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295276</xdr:colOff>
      <xdr:row>9</xdr:row>
      <xdr:rowOff>133350</xdr:rowOff>
    </xdr:from>
    <xdr:to>
      <xdr:col>11</xdr:col>
      <xdr:colOff>219076</xdr:colOff>
      <xdr:row>11</xdr:row>
      <xdr:rowOff>38100</xdr:rowOff>
    </xdr:to>
    <xdr:sp macro="" textlink="">
      <xdr:nvSpPr>
        <xdr:cNvPr id="24" name="矩形 23"/>
        <xdr:cNvSpPr/>
      </xdr:nvSpPr>
      <xdr:spPr>
        <a:xfrm>
          <a:off x="6467476" y="20193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</a:t>
          </a:r>
          <a:endParaRPr lang="zh-TW" altLang="en-US" sz="1100"/>
        </a:p>
      </xdr:txBody>
    </xdr:sp>
    <xdr:clientData/>
  </xdr:twoCellAnchor>
  <xdr:twoCellAnchor>
    <xdr:from>
      <xdr:col>6</xdr:col>
      <xdr:colOff>561976</xdr:colOff>
      <xdr:row>9</xdr:row>
      <xdr:rowOff>133350</xdr:rowOff>
    </xdr:from>
    <xdr:to>
      <xdr:col>8</xdr:col>
      <xdr:colOff>485776</xdr:colOff>
      <xdr:row>11</xdr:row>
      <xdr:rowOff>38100</xdr:rowOff>
    </xdr:to>
    <xdr:sp macro="" textlink="">
      <xdr:nvSpPr>
        <xdr:cNvPr id="25" name="矩形 24"/>
        <xdr:cNvSpPr/>
      </xdr:nvSpPr>
      <xdr:spPr>
        <a:xfrm>
          <a:off x="4676776" y="16002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</a:t>
          </a:r>
          <a:endParaRPr lang="zh-TW" altLang="en-US" sz="1100"/>
        </a:p>
      </xdr:txBody>
    </xdr:sp>
    <xdr:clientData/>
  </xdr:twoCellAnchor>
  <xdr:twoCellAnchor>
    <xdr:from>
      <xdr:col>6</xdr:col>
      <xdr:colOff>438150</xdr:colOff>
      <xdr:row>5</xdr:row>
      <xdr:rowOff>161925</xdr:rowOff>
    </xdr:from>
    <xdr:to>
      <xdr:col>8</xdr:col>
      <xdr:colOff>600075</xdr:colOff>
      <xdr:row>7</xdr:row>
      <xdr:rowOff>66675</xdr:rowOff>
    </xdr:to>
    <xdr:sp macro="" textlink="">
      <xdr:nvSpPr>
        <xdr:cNvPr id="27" name="矩形 26"/>
        <xdr:cNvSpPr/>
      </xdr:nvSpPr>
      <xdr:spPr>
        <a:xfrm>
          <a:off x="4552950" y="371475"/>
          <a:ext cx="1533525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Application.Contracts</a:t>
          </a:r>
          <a:endParaRPr lang="zh-TW" altLang="en-US" sz="1100"/>
        </a:p>
      </xdr:txBody>
    </xdr:sp>
    <xdr:clientData/>
  </xdr:twoCellAnchor>
  <xdr:twoCellAnchor>
    <xdr:from>
      <xdr:col>9</xdr:col>
      <xdr:colOff>295276</xdr:colOff>
      <xdr:row>5</xdr:row>
      <xdr:rowOff>171450</xdr:rowOff>
    </xdr:from>
    <xdr:to>
      <xdr:col>11</xdr:col>
      <xdr:colOff>219076</xdr:colOff>
      <xdr:row>7</xdr:row>
      <xdr:rowOff>76200</xdr:rowOff>
    </xdr:to>
    <xdr:sp macro="" textlink="">
      <xdr:nvSpPr>
        <xdr:cNvPr id="28" name="矩形 27"/>
        <xdr:cNvSpPr/>
      </xdr:nvSpPr>
      <xdr:spPr>
        <a:xfrm>
          <a:off x="6467476" y="3810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omain.Shared</a:t>
          </a:r>
          <a:endParaRPr lang="zh-TW" altLang="en-US" sz="1100"/>
        </a:p>
      </xdr:txBody>
    </xdr:sp>
    <xdr:clientData/>
  </xdr:twoCellAnchor>
  <xdr:twoCellAnchor>
    <xdr:from>
      <xdr:col>9</xdr:col>
      <xdr:colOff>190501</xdr:colOff>
      <xdr:row>12</xdr:row>
      <xdr:rowOff>190500</xdr:rowOff>
    </xdr:from>
    <xdr:to>
      <xdr:col>11</xdr:col>
      <xdr:colOff>323851</xdr:colOff>
      <xdr:row>14</xdr:row>
      <xdr:rowOff>95250</xdr:rowOff>
    </xdr:to>
    <xdr:sp macro="" textlink="">
      <xdr:nvSpPr>
        <xdr:cNvPr id="29" name="矩形 28"/>
        <xdr:cNvSpPr/>
      </xdr:nvSpPr>
      <xdr:spPr>
        <a:xfrm>
          <a:off x="4991101" y="2705100"/>
          <a:ext cx="150495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</a:t>
          </a:r>
          <a:endParaRPr lang="zh-TW" altLang="en-US" sz="1100"/>
        </a:p>
      </xdr:txBody>
    </xdr:sp>
    <xdr:clientData/>
  </xdr:twoCellAnchor>
  <xdr:twoCellAnchor>
    <xdr:from>
      <xdr:col>3</xdr:col>
      <xdr:colOff>628651</xdr:colOff>
      <xdr:row>5</xdr:row>
      <xdr:rowOff>161925</xdr:rowOff>
    </xdr:from>
    <xdr:to>
      <xdr:col>5</xdr:col>
      <xdr:colOff>552451</xdr:colOff>
      <xdr:row>7</xdr:row>
      <xdr:rowOff>66675</xdr:rowOff>
    </xdr:to>
    <xdr:sp macro="" textlink="">
      <xdr:nvSpPr>
        <xdr:cNvPr id="30" name="矩形 29"/>
        <xdr:cNvSpPr/>
      </xdr:nvSpPr>
      <xdr:spPr>
        <a:xfrm>
          <a:off x="2686051" y="3714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</a:t>
          </a:r>
          <a:endParaRPr lang="zh-TW" altLang="en-US" sz="1100"/>
        </a:p>
      </xdr:txBody>
    </xdr:sp>
    <xdr:clientData/>
  </xdr:twoCellAnchor>
  <xdr:twoCellAnchor>
    <xdr:from>
      <xdr:col>3</xdr:col>
      <xdr:colOff>676276</xdr:colOff>
      <xdr:row>2</xdr:row>
      <xdr:rowOff>190500</xdr:rowOff>
    </xdr:from>
    <xdr:to>
      <xdr:col>5</xdr:col>
      <xdr:colOff>600076</xdr:colOff>
      <xdr:row>4</xdr:row>
      <xdr:rowOff>95250</xdr:rowOff>
    </xdr:to>
    <xdr:sp macro="" textlink="">
      <xdr:nvSpPr>
        <xdr:cNvPr id="31" name="矩形 30"/>
        <xdr:cNvSpPr/>
      </xdr:nvSpPr>
      <xdr:spPr>
        <a:xfrm>
          <a:off x="1362076" y="6096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HttpApi.Client</a:t>
          </a:r>
          <a:endParaRPr lang="zh-TW" altLang="en-US" sz="1100"/>
        </a:p>
      </xdr:txBody>
    </xdr:sp>
    <xdr:clientData/>
  </xdr:twoCellAnchor>
  <xdr:twoCellAnchor>
    <xdr:from>
      <xdr:col>1</xdr:col>
      <xdr:colOff>161924</xdr:colOff>
      <xdr:row>5</xdr:row>
      <xdr:rowOff>133349</xdr:rowOff>
    </xdr:from>
    <xdr:to>
      <xdr:col>3</xdr:col>
      <xdr:colOff>19049</xdr:colOff>
      <xdr:row>7</xdr:row>
      <xdr:rowOff>95250</xdr:rowOff>
    </xdr:to>
    <xdr:sp macro="" textlink="">
      <xdr:nvSpPr>
        <xdr:cNvPr id="32" name="圓角矩形 31"/>
        <xdr:cNvSpPr/>
      </xdr:nvSpPr>
      <xdr:spPr>
        <a:xfrm>
          <a:off x="847724" y="1181099"/>
          <a:ext cx="1228725" cy="3810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應用程序</a:t>
          </a:r>
          <a:r>
            <a:rPr lang="en-US" altLang="zh-CN" sz="1200">
              <a:solidFill>
                <a:sysClr val="windowText" lastClr="000000"/>
              </a:solidFill>
            </a:rPr>
            <a:t>Web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523875</xdr:colOff>
      <xdr:row>19</xdr:row>
      <xdr:rowOff>85725</xdr:rowOff>
    </xdr:from>
    <xdr:to>
      <xdr:col>11</xdr:col>
      <xdr:colOff>0</xdr:colOff>
      <xdr:row>21</xdr:row>
      <xdr:rowOff>171450</xdr:rowOff>
    </xdr:to>
    <xdr:sp macro="" textlink="">
      <xdr:nvSpPr>
        <xdr:cNvPr id="33" name="流程圖: 磁碟 32"/>
        <xdr:cNvSpPr/>
      </xdr:nvSpPr>
      <xdr:spPr>
        <a:xfrm>
          <a:off x="6696075" y="4067175"/>
          <a:ext cx="847725" cy="504825"/>
        </a:xfrm>
        <a:prstGeom prst="flowChartMagneticDisk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數據庫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371474</xdr:colOff>
      <xdr:row>35</xdr:row>
      <xdr:rowOff>180976</xdr:rowOff>
    </xdr:from>
    <xdr:to>
      <xdr:col>13</xdr:col>
      <xdr:colOff>361949</xdr:colOff>
      <xdr:row>37</xdr:row>
      <xdr:rowOff>180976</xdr:rowOff>
    </xdr:to>
    <xdr:sp macro="" textlink="">
      <xdr:nvSpPr>
        <xdr:cNvPr id="37" name="圓角矩形 36"/>
        <xdr:cNvSpPr/>
      </xdr:nvSpPr>
      <xdr:spPr>
        <a:xfrm>
          <a:off x="6543674" y="7515226"/>
          <a:ext cx="1362075" cy="4191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模塊化公告管理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257175</xdr:colOff>
      <xdr:row>14</xdr:row>
      <xdr:rowOff>95250</xdr:rowOff>
    </xdr:from>
    <xdr:to>
      <xdr:col>10</xdr:col>
      <xdr:colOff>257176</xdr:colOff>
      <xdr:row>16</xdr:row>
      <xdr:rowOff>47625</xdr:rowOff>
    </xdr:to>
    <xdr:cxnSp macro="">
      <xdr:nvCxnSpPr>
        <xdr:cNvPr id="39" name="直線單箭頭接點 38"/>
        <xdr:cNvCxnSpPr>
          <a:stCxn id="29" idx="2"/>
          <a:endCxn id="141" idx="0"/>
        </xdr:cNvCxnSpPr>
      </xdr:nvCxnSpPr>
      <xdr:spPr>
        <a:xfrm flipH="1">
          <a:off x="7115175" y="3028950"/>
          <a:ext cx="1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19049</xdr:colOff>
      <xdr:row>6</xdr:row>
      <xdr:rowOff>114300</xdr:rowOff>
    </xdr:from>
    <xdr:to>
      <xdr:col>3</xdr:col>
      <xdr:colOff>628651</xdr:colOff>
      <xdr:row>6</xdr:row>
      <xdr:rowOff>114300</xdr:rowOff>
    </xdr:to>
    <xdr:cxnSp macro="">
      <xdr:nvCxnSpPr>
        <xdr:cNvPr id="41" name="直線單箭頭接點 40"/>
        <xdr:cNvCxnSpPr>
          <a:stCxn id="32" idx="3"/>
          <a:endCxn id="30" idx="1"/>
        </xdr:cNvCxnSpPr>
      </xdr:nvCxnSpPr>
      <xdr:spPr>
        <a:xfrm>
          <a:off x="2076449" y="1371600"/>
          <a:ext cx="6096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552451</xdr:colOff>
      <xdr:row>6</xdr:row>
      <xdr:rowOff>114300</xdr:rowOff>
    </xdr:from>
    <xdr:to>
      <xdr:col>6</xdr:col>
      <xdr:colOff>438150</xdr:colOff>
      <xdr:row>6</xdr:row>
      <xdr:rowOff>114300</xdr:rowOff>
    </xdr:to>
    <xdr:cxnSp macro="">
      <xdr:nvCxnSpPr>
        <xdr:cNvPr id="43" name="直線單箭頭接點 42"/>
        <xdr:cNvCxnSpPr>
          <a:stCxn id="30" idx="3"/>
          <a:endCxn id="27" idx="1"/>
        </xdr:cNvCxnSpPr>
      </xdr:nvCxnSpPr>
      <xdr:spPr>
        <a:xfrm>
          <a:off x="3981451" y="533400"/>
          <a:ext cx="5714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6</xdr:row>
      <xdr:rowOff>114300</xdr:rowOff>
    </xdr:from>
    <xdr:to>
      <xdr:col>9</xdr:col>
      <xdr:colOff>295276</xdr:colOff>
      <xdr:row>6</xdr:row>
      <xdr:rowOff>123825</xdr:rowOff>
    </xdr:to>
    <xdr:cxnSp macro="">
      <xdr:nvCxnSpPr>
        <xdr:cNvPr id="52" name="直線單箭頭接點 51"/>
        <xdr:cNvCxnSpPr>
          <a:stCxn id="27" idx="3"/>
          <a:endCxn id="28" idx="1"/>
        </xdr:cNvCxnSpPr>
      </xdr:nvCxnSpPr>
      <xdr:spPr>
        <a:xfrm>
          <a:off x="6086475" y="533400"/>
          <a:ext cx="38100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519113</xdr:colOff>
      <xdr:row>7</xdr:row>
      <xdr:rowOff>66675</xdr:rowOff>
    </xdr:from>
    <xdr:to>
      <xdr:col>7</xdr:col>
      <xdr:colOff>523876</xdr:colOff>
      <xdr:row>9</xdr:row>
      <xdr:rowOff>133350</xdr:rowOff>
    </xdr:to>
    <xdr:cxnSp macro="">
      <xdr:nvCxnSpPr>
        <xdr:cNvPr id="59" name="直線單箭頭接點 58"/>
        <xdr:cNvCxnSpPr>
          <a:stCxn id="25" idx="0"/>
          <a:endCxn id="27" idx="2"/>
        </xdr:cNvCxnSpPr>
      </xdr:nvCxnSpPr>
      <xdr:spPr>
        <a:xfrm flipH="1" flipV="1">
          <a:off x="5319713" y="1114425"/>
          <a:ext cx="4763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485776</xdr:colOff>
      <xdr:row>10</xdr:row>
      <xdr:rowOff>85725</xdr:rowOff>
    </xdr:from>
    <xdr:to>
      <xdr:col>9</xdr:col>
      <xdr:colOff>295276</xdr:colOff>
      <xdr:row>10</xdr:row>
      <xdr:rowOff>85725</xdr:rowOff>
    </xdr:to>
    <xdr:cxnSp macro="">
      <xdr:nvCxnSpPr>
        <xdr:cNvPr id="61" name="直線單箭頭接點 60"/>
        <xdr:cNvCxnSpPr>
          <a:stCxn id="25" idx="3"/>
          <a:endCxn id="24" idx="1"/>
        </xdr:cNvCxnSpPr>
      </xdr:nvCxnSpPr>
      <xdr:spPr>
        <a:xfrm>
          <a:off x="5972176" y="218122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257176</xdr:colOff>
      <xdr:row>7</xdr:row>
      <xdr:rowOff>76200</xdr:rowOff>
    </xdr:from>
    <xdr:to>
      <xdr:col>10</xdr:col>
      <xdr:colOff>257176</xdr:colOff>
      <xdr:row>9</xdr:row>
      <xdr:rowOff>133350</xdr:rowOff>
    </xdr:to>
    <xdr:cxnSp macro="">
      <xdr:nvCxnSpPr>
        <xdr:cNvPr id="63" name="直線單箭頭接點 62"/>
        <xdr:cNvCxnSpPr>
          <a:stCxn id="24" idx="0"/>
          <a:endCxn id="28" idx="2"/>
        </xdr:cNvCxnSpPr>
      </xdr:nvCxnSpPr>
      <xdr:spPr>
        <a:xfrm flipV="1">
          <a:off x="7115176" y="1543050"/>
          <a:ext cx="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257176</xdr:colOff>
      <xdr:row>11</xdr:row>
      <xdr:rowOff>38100</xdr:rowOff>
    </xdr:from>
    <xdr:to>
      <xdr:col>10</xdr:col>
      <xdr:colOff>257176</xdr:colOff>
      <xdr:row>12</xdr:row>
      <xdr:rowOff>190500</xdr:rowOff>
    </xdr:to>
    <xdr:cxnSp macro="">
      <xdr:nvCxnSpPr>
        <xdr:cNvPr id="66" name="直線單箭頭接點 65"/>
        <xdr:cNvCxnSpPr>
          <a:stCxn id="29" idx="0"/>
          <a:endCxn id="24" idx="2"/>
        </xdr:cNvCxnSpPr>
      </xdr:nvCxnSpPr>
      <xdr:spPr>
        <a:xfrm flipV="1">
          <a:off x="5743576" y="23431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95251</xdr:colOff>
      <xdr:row>36</xdr:row>
      <xdr:rowOff>152400</xdr:rowOff>
    </xdr:from>
    <xdr:to>
      <xdr:col>18</xdr:col>
      <xdr:colOff>704851</xdr:colOff>
      <xdr:row>38</xdr:row>
      <xdr:rowOff>57150</xdr:rowOff>
    </xdr:to>
    <xdr:sp macro="" textlink="">
      <xdr:nvSpPr>
        <xdr:cNvPr id="103" name="矩形 102"/>
        <xdr:cNvSpPr/>
      </xdr:nvSpPr>
      <xdr:spPr>
        <a:xfrm>
          <a:off x="10382251" y="76962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</a:t>
          </a:r>
          <a:endParaRPr lang="zh-TW" altLang="en-US" sz="1100"/>
        </a:p>
      </xdr:txBody>
    </xdr:sp>
    <xdr:clientData/>
  </xdr:twoCellAnchor>
  <xdr:twoCellAnchor>
    <xdr:from>
      <xdr:col>14</xdr:col>
      <xdr:colOff>361951</xdr:colOff>
      <xdr:row>36</xdr:row>
      <xdr:rowOff>152400</xdr:rowOff>
    </xdr:from>
    <xdr:to>
      <xdr:col>16</xdr:col>
      <xdr:colOff>285751</xdr:colOff>
      <xdr:row>38</xdr:row>
      <xdr:rowOff>57150</xdr:rowOff>
    </xdr:to>
    <xdr:sp macro="" textlink="">
      <xdr:nvSpPr>
        <xdr:cNvPr id="104" name="矩形 103"/>
        <xdr:cNvSpPr/>
      </xdr:nvSpPr>
      <xdr:spPr>
        <a:xfrm>
          <a:off x="8591551" y="76962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</a:t>
          </a:r>
          <a:endParaRPr lang="zh-TW" altLang="en-US" sz="1100"/>
        </a:p>
      </xdr:txBody>
    </xdr:sp>
    <xdr:clientData/>
  </xdr:twoCellAnchor>
  <xdr:twoCellAnchor>
    <xdr:from>
      <xdr:col>14</xdr:col>
      <xdr:colOff>238125</xdr:colOff>
      <xdr:row>32</xdr:row>
      <xdr:rowOff>180975</xdr:rowOff>
    </xdr:from>
    <xdr:to>
      <xdr:col>16</xdr:col>
      <xdr:colOff>400050</xdr:colOff>
      <xdr:row>34</xdr:row>
      <xdr:rowOff>85725</xdr:rowOff>
    </xdr:to>
    <xdr:sp macro="" textlink="">
      <xdr:nvSpPr>
        <xdr:cNvPr id="105" name="矩形 104"/>
        <xdr:cNvSpPr/>
      </xdr:nvSpPr>
      <xdr:spPr>
        <a:xfrm>
          <a:off x="8467725" y="6886575"/>
          <a:ext cx="1533525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Application.Contracts</a:t>
          </a:r>
          <a:endParaRPr lang="zh-TW" altLang="en-US" sz="1100"/>
        </a:p>
      </xdr:txBody>
    </xdr:sp>
    <xdr:clientData/>
  </xdr:twoCellAnchor>
  <xdr:twoCellAnchor>
    <xdr:from>
      <xdr:col>17</xdr:col>
      <xdr:colOff>95251</xdr:colOff>
      <xdr:row>32</xdr:row>
      <xdr:rowOff>190500</xdr:rowOff>
    </xdr:from>
    <xdr:to>
      <xdr:col>18</xdr:col>
      <xdr:colOff>704851</xdr:colOff>
      <xdr:row>34</xdr:row>
      <xdr:rowOff>95250</xdr:rowOff>
    </xdr:to>
    <xdr:sp macro="" textlink="">
      <xdr:nvSpPr>
        <xdr:cNvPr id="106" name="矩形 105"/>
        <xdr:cNvSpPr/>
      </xdr:nvSpPr>
      <xdr:spPr>
        <a:xfrm>
          <a:off x="10382251" y="68961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omain.Shared</a:t>
          </a:r>
          <a:endParaRPr lang="zh-TW" altLang="en-US" sz="1100"/>
        </a:p>
      </xdr:txBody>
    </xdr:sp>
    <xdr:clientData/>
  </xdr:twoCellAnchor>
  <xdr:twoCellAnchor>
    <xdr:from>
      <xdr:col>16</xdr:col>
      <xdr:colOff>676276</xdr:colOff>
      <xdr:row>40</xdr:row>
      <xdr:rowOff>0</xdr:rowOff>
    </xdr:from>
    <xdr:to>
      <xdr:col>18</xdr:col>
      <xdr:colOff>809626</xdr:colOff>
      <xdr:row>41</xdr:row>
      <xdr:rowOff>114300</xdr:rowOff>
    </xdr:to>
    <xdr:sp macro="" textlink="">
      <xdr:nvSpPr>
        <xdr:cNvPr id="107" name="矩形 106"/>
        <xdr:cNvSpPr/>
      </xdr:nvSpPr>
      <xdr:spPr>
        <a:xfrm>
          <a:off x="10277476" y="8382000"/>
          <a:ext cx="150495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</a:t>
          </a:r>
          <a:endParaRPr lang="zh-TW" altLang="en-US" sz="1100"/>
        </a:p>
      </xdr:txBody>
    </xdr:sp>
    <xdr:clientData/>
  </xdr:twoCellAnchor>
  <xdr:twoCellAnchor>
    <xdr:from>
      <xdr:col>11</xdr:col>
      <xdr:colOff>428626</xdr:colOff>
      <xdr:row>32</xdr:row>
      <xdr:rowOff>180975</xdr:rowOff>
    </xdr:from>
    <xdr:to>
      <xdr:col>13</xdr:col>
      <xdr:colOff>352426</xdr:colOff>
      <xdr:row>34</xdr:row>
      <xdr:rowOff>85725</xdr:rowOff>
    </xdr:to>
    <xdr:sp macro="" textlink="">
      <xdr:nvSpPr>
        <xdr:cNvPr id="108" name="矩形 107"/>
        <xdr:cNvSpPr/>
      </xdr:nvSpPr>
      <xdr:spPr>
        <a:xfrm>
          <a:off x="6600826" y="68865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</a:t>
          </a:r>
          <a:endParaRPr lang="zh-TW" altLang="en-US" sz="1100"/>
        </a:p>
      </xdr:txBody>
    </xdr:sp>
    <xdr:clientData/>
  </xdr:twoCellAnchor>
  <xdr:twoCellAnchor>
    <xdr:from>
      <xdr:col>14</xdr:col>
      <xdr:colOff>352426</xdr:colOff>
      <xdr:row>29</xdr:row>
      <xdr:rowOff>123825</xdr:rowOff>
    </xdr:from>
    <xdr:to>
      <xdr:col>16</xdr:col>
      <xdr:colOff>276226</xdr:colOff>
      <xdr:row>31</xdr:row>
      <xdr:rowOff>28575</xdr:rowOff>
    </xdr:to>
    <xdr:sp macro="" textlink="">
      <xdr:nvSpPr>
        <xdr:cNvPr id="109" name="矩形 108"/>
        <xdr:cNvSpPr/>
      </xdr:nvSpPr>
      <xdr:spPr>
        <a:xfrm>
          <a:off x="8582026" y="62007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HttpApi.Client</a:t>
          </a:r>
          <a:endParaRPr lang="zh-TW" altLang="en-US" sz="1100"/>
        </a:p>
      </xdr:txBody>
    </xdr:sp>
    <xdr:clientData/>
  </xdr:twoCellAnchor>
  <xdr:twoCellAnchor>
    <xdr:from>
      <xdr:col>12</xdr:col>
      <xdr:colOff>385762</xdr:colOff>
      <xdr:row>34</xdr:row>
      <xdr:rowOff>85725</xdr:rowOff>
    </xdr:from>
    <xdr:to>
      <xdr:col>12</xdr:col>
      <xdr:colOff>390526</xdr:colOff>
      <xdr:row>35</xdr:row>
      <xdr:rowOff>180976</xdr:rowOff>
    </xdr:to>
    <xdr:cxnSp macro="">
      <xdr:nvCxnSpPr>
        <xdr:cNvPr id="112" name="直線單箭頭接點 111"/>
        <xdr:cNvCxnSpPr>
          <a:endCxn id="108" idx="2"/>
        </xdr:cNvCxnSpPr>
      </xdr:nvCxnSpPr>
      <xdr:spPr>
        <a:xfrm flipV="1">
          <a:off x="7243762" y="7210425"/>
          <a:ext cx="4764" cy="304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352426</xdr:colOff>
      <xdr:row>33</xdr:row>
      <xdr:rowOff>133350</xdr:rowOff>
    </xdr:from>
    <xdr:to>
      <xdr:col>14</xdr:col>
      <xdr:colOff>238125</xdr:colOff>
      <xdr:row>33</xdr:row>
      <xdr:rowOff>133350</xdr:rowOff>
    </xdr:to>
    <xdr:cxnSp macro="">
      <xdr:nvCxnSpPr>
        <xdr:cNvPr id="113" name="直線單箭頭接點 112"/>
        <xdr:cNvCxnSpPr>
          <a:stCxn id="108" idx="3"/>
          <a:endCxn id="105" idx="1"/>
        </xdr:cNvCxnSpPr>
      </xdr:nvCxnSpPr>
      <xdr:spPr>
        <a:xfrm>
          <a:off x="7896226" y="7048500"/>
          <a:ext cx="5714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33</xdr:row>
      <xdr:rowOff>133350</xdr:rowOff>
    </xdr:from>
    <xdr:to>
      <xdr:col>17</xdr:col>
      <xdr:colOff>95251</xdr:colOff>
      <xdr:row>33</xdr:row>
      <xdr:rowOff>142875</xdr:rowOff>
    </xdr:to>
    <xdr:cxnSp macro="">
      <xdr:nvCxnSpPr>
        <xdr:cNvPr id="114" name="直線單箭頭接點 113"/>
        <xdr:cNvCxnSpPr>
          <a:stCxn id="105" idx="3"/>
          <a:endCxn id="106" idx="1"/>
        </xdr:cNvCxnSpPr>
      </xdr:nvCxnSpPr>
      <xdr:spPr>
        <a:xfrm>
          <a:off x="10001250" y="7048500"/>
          <a:ext cx="38100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319088</xdr:colOff>
      <xdr:row>34</xdr:row>
      <xdr:rowOff>85725</xdr:rowOff>
    </xdr:from>
    <xdr:to>
      <xdr:col>15</xdr:col>
      <xdr:colOff>323851</xdr:colOff>
      <xdr:row>36</xdr:row>
      <xdr:rowOff>152400</xdr:rowOff>
    </xdr:to>
    <xdr:cxnSp macro="">
      <xdr:nvCxnSpPr>
        <xdr:cNvPr id="115" name="直線單箭頭接點 114"/>
        <xdr:cNvCxnSpPr>
          <a:stCxn id="104" idx="0"/>
          <a:endCxn id="105" idx="2"/>
        </xdr:cNvCxnSpPr>
      </xdr:nvCxnSpPr>
      <xdr:spPr>
        <a:xfrm flipH="1" flipV="1">
          <a:off x="9234488" y="7210425"/>
          <a:ext cx="4763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285751</xdr:colOff>
      <xdr:row>37</xdr:row>
      <xdr:rowOff>104775</xdr:rowOff>
    </xdr:from>
    <xdr:to>
      <xdr:col>17</xdr:col>
      <xdr:colOff>95251</xdr:colOff>
      <xdr:row>37</xdr:row>
      <xdr:rowOff>104775</xdr:rowOff>
    </xdr:to>
    <xdr:cxnSp macro="">
      <xdr:nvCxnSpPr>
        <xdr:cNvPr id="116" name="直線單箭頭接點 115"/>
        <xdr:cNvCxnSpPr>
          <a:stCxn id="104" idx="3"/>
          <a:endCxn id="103" idx="1"/>
        </xdr:cNvCxnSpPr>
      </xdr:nvCxnSpPr>
      <xdr:spPr>
        <a:xfrm>
          <a:off x="9886951" y="785812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57151</xdr:colOff>
      <xdr:row>34</xdr:row>
      <xdr:rowOff>95250</xdr:rowOff>
    </xdr:from>
    <xdr:to>
      <xdr:col>18</xdr:col>
      <xdr:colOff>57151</xdr:colOff>
      <xdr:row>36</xdr:row>
      <xdr:rowOff>152400</xdr:rowOff>
    </xdr:to>
    <xdr:cxnSp macro="">
      <xdr:nvCxnSpPr>
        <xdr:cNvPr id="117" name="直線單箭頭接點 116"/>
        <xdr:cNvCxnSpPr>
          <a:stCxn id="103" idx="0"/>
          <a:endCxn id="106" idx="2"/>
        </xdr:cNvCxnSpPr>
      </xdr:nvCxnSpPr>
      <xdr:spPr>
        <a:xfrm flipV="1">
          <a:off x="11029951" y="7219950"/>
          <a:ext cx="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57151</xdr:colOff>
      <xdr:row>38</xdr:row>
      <xdr:rowOff>57150</xdr:rowOff>
    </xdr:from>
    <xdr:to>
      <xdr:col>18</xdr:col>
      <xdr:colOff>57151</xdr:colOff>
      <xdr:row>40</xdr:row>
      <xdr:rowOff>0</xdr:rowOff>
    </xdr:to>
    <xdr:cxnSp macro="">
      <xdr:nvCxnSpPr>
        <xdr:cNvPr id="118" name="直線單箭頭接點 117"/>
        <xdr:cNvCxnSpPr>
          <a:stCxn id="107" idx="0"/>
          <a:endCxn id="103" idx="2"/>
        </xdr:cNvCxnSpPr>
      </xdr:nvCxnSpPr>
      <xdr:spPr>
        <a:xfrm flipV="1">
          <a:off x="11029951" y="80200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314326</xdr:colOff>
      <xdr:row>31</xdr:row>
      <xdr:rowOff>28575</xdr:rowOff>
    </xdr:from>
    <xdr:to>
      <xdr:col>15</xdr:col>
      <xdr:colOff>319088</xdr:colOff>
      <xdr:row>32</xdr:row>
      <xdr:rowOff>180975</xdr:rowOff>
    </xdr:to>
    <xdr:cxnSp macro="">
      <xdr:nvCxnSpPr>
        <xdr:cNvPr id="119" name="直線單箭頭接點 118"/>
        <xdr:cNvCxnSpPr>
          <a:stCxn id="109" idx="2"/>
          <a:endCxn id="105" idx="0"/>
        </xdr:cNvCxnSpPr>
      </xdr:nvCxnSpPr>
      <xdr:spPr>
        <a:xfrm>
          <a:off x="9229726" y="6524625"/>
          <a:ext cx="4762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26</xdr:row>
      <xdr:rowOff>28575</xdr:rowOff>
    </xdr:from>
    <xdr:to>
      <xdr:col>18</xdr:col>
      <xdr:colOff>76200</xdr:colOff>
      <xdr:row>29</xdr:row>
      <xdr:rowOff>12573</xdr:rowOff>
    </xdr:to>
    <xdr:sp macro="" textlink="">
      <xdr:nvSpPr>
        <xdr:cNvPr id="121" name="直線圖說文字 2 (加上強調線) 120"/>
        <xdr:cNvSpPr/>
      </xdr:nvSpPr>
      <xdr:spPr>
        <a:xfrm>
          <a:off x="10134600" y="5476875"/>
          <a:ext cx="914400" cy="612648"/>
        </a:xfrm>
        <a:prstGeom prst="accentCallout2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外部系統調用接口</a:t>
          </a:r>
          <a:endParaRPr lang="zh-TW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600076</xdr:colOff>
      <xdr:row>3</xdr:row>
      <xdr:rowOff>142875</xdr:rowOff>
    </xdr:from>
    <xdr:to>
      <xdr:col>7</xdr:col>
      <xdr:colOff>519113</xdr:colOff>
      <xdr:row>5</xdr:row>
      <xdr:rowOff>161925</xdr:rowOff>
    </xdr:to>
    <xdr:cxnSp macro="">
      <xdr:nvCxnSpPr>
        <xdr:cNvPr id="136" name="肘形接點 135"/>
        <xdr:cNvCxnSpPr>
          <a:stCxn id="31" idx="3"/>
          <a:endCxn id="27" idx="0"/>
        </xdr:cNvCxnSpPr>
      </xdr:nvCxnSpPr>
      <xdr:spPr>
        <a:xfrm>
          <a:off x="4029076" y="771525"/>
          <a:ext cx="1290637" cy="4381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16</xdr:row>
      <xdr:rowOff>47625</xdr:rowOff>
    </xdr:from>
    <xdr:to>
      <xdr:col>12</xdr:col>
      <xdr:colOff>28574</xdr:colOff>
      <xdr:row>17</xdr:row>
      <xdr:rowOff>161925</xdr:rowOff>
    </xdr:to>
    <xdr:sp macro="" textlink="">
      <xdr:nvSpPr>
        <xdr:cNvPr id="141" name="矩形 140"/>
        <xdr:cNvSpPr/>
      </xdr:nvSpPr>
      <xdr:spPr>
        <a:xfrm>
          <a:off x="5972175" y="3400425"/>
          <a:ext cx="2285999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EntityFrameworkCore.DbMigrations</a:t>
          </a:r>
          <a:endParaRPr lang="zh-TW" altLang="en-US" sz="1100"/>
        </a:p>
      </xdr:txBody>
    </xdr:sp>
    <xdr:clientData/>
  </xdr:twoCellAnchor>
  <xdr:twoCellAnchor>
    <xdr:from>
      <xdr:col>10</xdr:col>
      <xdr:colOff>257175</xdr:colOff>
      <xdr:row>17</xdr:row>
      <xdr:rowOff>161925</xdr:rowOff>
    </xdr:from>
    <xdr:to>
      <xdr:col>10</xdr:col>
      <xdr:colOff>261938</xdr:colOff>
      <xdr:row>19</xdr:row>
      <xdr:rowOff>85725</xdr:rowOff>
    </xdr:to>
    <xdr:cxnSp macro="">
      <xdr:nvCxnSpPr>
        <xdr:cNvPr id="146" name="直線單箭頭接點 145"/>
        <xdr:cNvCxnSpPr>
          <a:stCxn id="141" idx="2"/>
          <a:endCxn id="33" idx="1"/>
        </xdr:cNvCxnSpPr>
      </xdr:nvCxnSpPr>
      <xdr:spPr>
        <a:xfrm>
          <a:off x="7115175" y="3724275"/>
          <a:ext cx="4763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90486</xdr:colOff>
      <xdr:row>3</xdr:row>
      <xdr:rowOff>142876</xdr:rowOff>
    </xdr:from>
    <xdr:to>
      <xdr:col>3</xdr:col>
      <xdr:colOff>676275</xdr:colOff>
      <xdr:row>5</xdr:row>
      <xdr:rowOff>133350</xdr:rowOff>
    </xdr:to>
    <xdr:cxnSp macro="">
      <xdr:nvCxnSpPr>
        <xdr:cNvPr id="168" name="肘形接點 167"/>
        <xdr:cNvCxnSpPr>
          <a:stCxn id="32" idx="0"/>
          <a:endCxn id="31" idx="1"/>
        </xdr:cNvCxnSpPr>
      </xdr:nvCxnSpPr>
      <xdr:spPr>
        <a:xfrm rot="5400000" flipH="1" flipV="1">
          <a:off x="1893094" y="340518"/>
          <a:ext cx="409574" cy="127158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10</xdr:row>
      <xdr:rowOff>190500</xdr:rowOff>
    </xdr:from>
    <xdr:to>
      <xdr:col>14</xdr:col>
      <xdr:colOff>152400</xdr:colOff>
      <xdr:row>12</xdr:row>
      <xdr:rowOff>66675</xdr:rowOff>
    </xdr:to>
    <xdr:sp macro="" textlink="">
      <xdr:nvSpPr>
        <xdr:cNvPr id="171" name="向左箭號 170"/>
        <xdr:cNvSpPr/>
      </xdr:nvSpPr>
      <xdr:spPr>
        <a:xfrm>
          <a:off x="8934450" y="2286000"/>
          <a:ext cx="819150" cy="295275"/>
        </a:xfrm>
        <a:prstGeom prst="lef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14</xdr:col>
      <xdr:colOff>466725</xdr:colOff>
      <xdr:row>11</xdr:row>
      <xdr:rowOff>76200</xdr:rowOff>
    </xdr:from>
    <xdr:ext cx="184731" cy="264560"/>
    <xdr:sp macro="" textlink="">
      <xdr:nvSpPr>
        <xdr:cNvPr id="172" name="文字方塊 171"/>
        <xdr:cNvSpPr txBox="1"/>
      </xdr:nvSpPr>
      <xdr:spPr>
        <a:xfrm>
          <a:off x="1006792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  <xdr:twoCellAnchor>
    <xdr:from>
      <xdr:col>14</xdr:col>
      <xdr:colOff>304799</xdr:colOff>
      <xdr:row>10</xdr:row>
      <xdr:rowOff>38100</xdr:rowOff>
    </xdr:from>
    <xdr:to>
      <xdr:col>16</xdr:col>
      <xdr:colOff>304800</xdr:colOff>
      <xdr:row>13</xdr:row>
      <xdr:rowOff>22098</xdr:rowOff>
    </xdr:to>
    <xdr:sp macro="" textlink="">
      <xdr:nvSpPr>
        <xdr:cNvPr id="173" name="流程圖: 預設程序 172"/>
        <xdr:cNvSpPr/>
      </xdr:nvSpPr>
      <xdr:spPr>
        <a:xfrm>
          <a:off x="9905999" y="2133600"/>
          <a:ext cx="1371601" cy="612648"/>
        </a:xfrm>
        <a:prstGeom prst="flowChartPredefinedProcess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>
              <a:solidFill>
                <a:sysClr val="windowText" lastClr="000000"/>
              </a:solidFill>
            </a:rPr>
            <a:t>應用程序</a:t>
          </a:r>
          <a:endParaRPr lang="zh-TW" altLang="en-US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409575</xdr:colOff>
      <xdr:row>34</xdr:row>
      <xdr:rowOff>152400</xdr:rowOff>
    </xdr:from>
    <xdr:to>
      <xdr:col>9</xdr:col>
      <xdr:colOff>542925</xdr:colOff>
      <xdr:row>36</xdr:row>
      <xdr:rowOff>28575</xdr:rowOff>
    </xdr:to>
    <xdr:sp macro="" textlink="">
      <xdr:nvSpPr>
        <xdr:cNvPr id="174" name="向左箭號 173"/>
        <xdr:cNvSpPr/>
      </xdr:nvSpPr>
      <xdr:spPr>
        <a:xfrm rot="10800000">
          <a:off x="5895975" y="7277100"/>
          <a:ext cx="819150" cy="295275"/>
        </a:xfrm>
        <a:prstGeom prst="leftArrow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600076</xdr:colOff>
      <xdr:row>34</xdr:row>
      <xdr:rowOff>9525</xdr:rowOff>
    </xdr:from>
    <xdr:to>
      <xdr:col>8</xdr:col>
      <xdr:colOff>85726</xdr:colOff>
      <xdr:row>36</xdr:row>
      <xdr:rowOff>203073</xdr:rowOff>
    </xdr:to>
    <xdr:sp macro="" textlink="">
      <xdr:nvSpPr>
        <xdr:cNvPr id="175" name="流程圖: 預設程序 174"/>
        <xdr:cNvSpPr/>
      </xdr:nvSpPr>
      <xdr:spPr>
        <a:xfrm>
          <a:off x="4029076" y="7134225"/>
          <a:ext cx="1543050" cy="612648"/>
        </a:xfrm>
        <a:prstGeom prst="flowChartPredefinedProcess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400">
              <a:solidFill>
                <a:sysClr val="windowText" lastClr="000000"/>
              </a:solidFill>
            </a:rPr>
            <a:t>模塊化示例</a:t>
          </a:r>
          <a:endParaRPr lang="zh-TW" altLang="en-US" sz="1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581025</xdr:colOff>
      <xdr:row>10</xdr:row>
      <xdr:rowOff>152400</xdr:rowOff>
    </xdr:from>
    <xdr:to>
      <xdr:col>15</xdr:col>
      <xdr:colOff>504825</xdr:colOff>
      <xdr:row>12</xdr:row>
      <xdr:rowOff>57150</xdr:rowOff>
    </xdr:to>
    <xdr:sp macro="" textlink="">
      <xdr:nvSpPr>
        <xdr:cNvPr id="2" name="矩形 1"/>
        <xdr:cNvSpPr/>
      </xdr:nvSpPr>
      <xdr:spPr>
        <a:xfrm>
          <a:off x="9496425" y="22479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</a:t>
          </a:r>
          <a:endParaRPr lang="zh-TW" altLang="en-US" sz="1100"/>
        </a:p>
      </xdr:txBody>
    </xdr:sp>
    <xdr:clientData/>
  </xdr:twoCellAnchor>
  <xdr:twoCellAnchor>
    <xdr:from>
      <xdr:col>13</xdr:col>
      <xdr:colOff>561975</xdr:colOff>
      <xdr:row>6</xdr:row>
      <xdr:rowOff>85725</xdr:rowOff>
    </xdr:from>
    <xdr:to>
      <xdr:col>15</xdr:col>
      <xdr:colOff>485775</xdr:colOff>
      <xdr:row>7</xdr:row>
      <xdr:rowOff>200025</xdr:rowOff>
    </xdr:to>
    <xdr:sp macro="" textlink="">
      <xdr:nvSpPr>
        <xdr:cNvPr id="3" name="矩形 2"/>
        <xdr:cNvSpPr/>
      </xdr:nvSpPr>
      <xdr:spPr>
        <a:xfrm>
          <a:off x="9477375" y="134302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</a:t>
          </a:r>
          <a:endParaRPr lang="zh-TW" altLang="en-US" sz="1100"/>
        </a:p>
      </xdr:txBody>
    </xdr:sp>
    <xdr:clientData/>
  </xdr:twoCellAnchor>
  <xdr:twoCellAnchor>
    <xdr:from>
      <xdr:col>13</xdr:col>
      <xdr:colOff>600075</xdr:colOff>
      <xdr:row>21</xdr:row>
      <xdr:rowOff>47625</xdr:rowOff>
    </xdr:from>
    <xdr:to>
      <xdr:col>15</xdr:col>
      <xdr:colOff>523875</xdr:colOff>
      <xdr:row>22</xdr:row>
      <xdr:rowOff>161925</xdr:rowOff>
    </xdr:to>
    <xdr:sp macro="" textlink="">
      <xdr:nvSpPr>
        <xdr:cNvPr id="4" name="矩形 3"/>
        <xdr:cNvSpPr/>
      </xdr:nvSpPr>
      <xdr:spPr>
        <a:xfrm>
          <a:off x="9515475" y="44481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Web</a:t>
          </a:r>
          <a:endParaRPr lang="zh-TW" altLang="en-US" sz="1100"/>
        </a:p>
      </xdr:txBody>
    </xdr:sp>
    <xdr:clientData/>
  </xdr:twoCellAnchor>
  <xdr:twoCellAnchor>
    <xdr:from>
      <xdr:col>13</xdr:col>
      <xdr:colOff>552449</xdr:colOff>
      <xdr:row>8</xdr:row>
      <xdr:rowOff>85725</xdr:rowOff>
    </xdr:from>
    <xdr:to>
      <xdr:col>16</xdr:col>
      <xdr:colOff>28574</xdr:colOff>
      <xdr:row>9</xdr:row>
      <xdr:rowOff>200025</xdr:rowOff>
    </xdr:to>
    <xdr:sp macro="" textlink="">
      <xdr:nvSpPr>
        <xdr:cNvPr id="5" name="矩形 4"/>
        <xdr:cNvSpPr/>
      </xdr:nvSpPr>
      <xdr:spPr>
        <a:xfrm>
          <a:off x="9467849" y="1762125"/>
          <a:ext cx="1533525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Application.Contracts</a:t>
          </a:r>
          <a:endParaRPr lang="zh-TW" altLang="en-US" sz="1100"/>
        </a:p>
      </xdr:txBody>
    </xdr:sp>
    <xdr:clientData/>
  </xdr:twoCellAnchor>
  <xdr:twoCellAnchor>
    <xdr:from>
      <xdr:col>13</xdr:col>
      <xdr:colOff>581025</xdr:colOff>
      <xdr:row>12</xdr:row>
      <xdr:rowOff>180975</xdr:rowOff>
    </xdr:from>
    <xdr:to>
      <xdr:col>15</xdr:col>
      <xdr:colOff>504825</xdr:colOff>
      <xdr:row>14</xdr:row>
      <xdr:rowOff>85725</xdr:rowOff>
    </xdr:to>
    <xdr:sp macro="" textlink="">
      <xdr:nvSpPr>
        <xdr:cNvPr id="6" name="矩形 5"/>
        <xdr:cNvSpPr/>
      </xdr:nvSpPr>
      <xdr:spPr>
        <a:xfrm>
          <a:off x="9496425" y="26955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omain.Shared</a:t>
          </a:r>
          <a:endParaRPr lang="zh-TW" altLang="en-US" sz="1100"/>
        </a:p>
      </xdr:txBody>
    </xdr:sp>
    <xdr:clientData/>
  </xdr:twoCellAnchor>
  <xdr:twoCellAnchor>
    <xdr:from>
      <xdr:col>13</xdr:col>
      <xdr:colOff>590550</xdr:colOff>
      <xdr:row>14</xdr:row>
      <xdr:rowOff>180975</xdr:rowOff>
    </xdr:from>
    <xdr:to>
      <xdr:col>16</xdr:col>
      <xdr:colOff>38100</xdr:colOff>
      <xdr:row>16</xdr:row>
      <xdr:rowOff>85725</xdr:rowOff>
    </xdr:to>
    <xdr:sp macro="" textlink="">
      <xdr:nvSpPr>
        <xdr:cNvPr id="7" name="矩形 6"/>
        <xdr:cNvSpPr/>
      </xdr:nvSpPr>
      <xdr:spPr>
        <a:xfrm>
          <a:off x="9505950" y="3114675"/>
          <a:ext cx="150495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</a:t>
          </a:r>
          <a:endParaRPr lang="zh-TW" altLang="en-US" sz="1100"/>
        </a:p>
      </xdr:txBody>
    </xdr:sp>
    <xdr:clientData/>
  </xdr:twoCellAnchor>
  <xdr:twoCellAnchor>
    <xdr:from>
      <xdr:col>13</xdr:col>
      <xdr:colOff>609600</xdr:colOff>
      <xdr:row>16</xdr:row>
      <xdr:rowOff>200025</xdr:rowOff>
    </xdr:from>
    <xdr:to>
      <xdr:col>15</xdr:col>
      <xdr:colOff>533400</xdr:colOff>
      <xdr:row>18</xdr:row>
      <xdr:rowOff>104775</xdr:rowOff>
    </xdr:to>
    <xdr:sp macro="" textlink="">
      <xdr:nvSpPr>
        <xdr:cNvPr id="8" name="矩形 7"/>
        <xdr:cNvSpPr/>
      </xdr:nvSpPr>
      <xdr:spPr>
        <a:xfrm>
          <a:off x="9525000" y="355282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</a:t>
          </a:r>
          <a:endParaRPr lang="zh-TW" altLang="en-US" sz="1100"/>
        </a:p>
      </xdr:txBody>
    </xdr:sp>
    <xdr:clientData/>
  </xdr:twoCellAnchor>
  <xdr:twoCellAnchor>
    <xdr:from>
      <xdr:col>13</xdr:col>
      <xdr:colOff>609600</xdr:colOff>
      <xdr:row>19</xdr:row>
      <xdr:rowOff>9525</xdr:rowOff>
    </xdr:from>
    <xdr:to>
      <xdr:col>15</xdr:col>
      <xdr:colOff>533400</xdr:colOff>
      <xdr:row>20</xdr:row>
      <xdr:rowOff>123825</xdr:rowOff>
    </xdr:to>
    <xdr:sp macro="" textlink="">
      <xdr:nvSpPr>
        <xdr:cNvPr id="9" name="矩形 8"/>
        <xdr:cNvSpPr/>
      </xdr:nvSpPr>
      <xdr:spPr>
        <a:xfrm>
          <a:off x="9525000" y="39909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HttpApi.Client</a:t>
          </a:r>
          <a:endParaRPr lang="zh-TW" altLang="en-US" sz="1100"/>
        </a:p>
      </xdr:txBody>
    </xdr:sp>
    <xdr:clientData/>
  </xdr:twoCellAnchor>
  <xdr:twoCellAnchor>
    <xdr:from>
      <xdr:col>9</xdr:col>
      <xdr:colOff>295276</xdr:colOff>
      <xdr:row>9</xdr:row>
      <xdr:rowOff>133350</xdr:rowOff>
    </xdr:from>
    <xdr:to>
      <xdr:col>11</xdr:col>
      <xdr:colOff>219076</xdr:colOff>
      <xdr:row>11</xdr:row>
      <xdr:rowOff>38100</xdr:rowOff>
    </xdr:to>
    <xdr:sp macro="" textlink="">
      <xdr:nvSpPr>
        <xdr:cNvPr id="10" name="矩形 9"/>
        <xdr:cNvSpPr/>
      </xdr:nvSpPr>
      <xdr:spPr>
        <a:xfrm>
          <a:off x="6467476" y="20193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</a:t>
          </a:r>
          <a:endParaRPr lang="zh-TW" altLang="en-US" sz="1100"/>
        </a:p>
      </xdr:txBody>
    </xdr:sp>
    <xdr:clientData/>
  </xdr:twoCellAnchor>
  <xdr:twoCellAnchor>
    <xdr:from>
      <xdr:col>6</xdr:col>
      <xdr:colOff>561976</xdr:colOff>
      <xdr:row>9</xdr:row>
      <xdr:rowOff>133350</xdr:rowOff>
    </xdr:from>
    <xdr:to>
      <xdr:col>8</xdr:col>
      <xdr:colOff>485776</xdr:colOff>
      <xdr:row>11</xdr:row>
      <xdr:rowOff>38100</xdr:rowOff>
    </xdr:to>
    <xdr:sp macro="" textlink="">
      <xdr:nvSpPr>
        <xdr:cNvPr id="11" name="矩形 10"/>
        <xdr:cNvSpPr/>
      </xdr:nvSpPr>
      <xdr:spPr>
        <a:xfrm>
          <a:off x="4676776" y="20193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</a:t>
          </a:r>
          <a:endParaRPr lang="zh-TW" altLang="en-US" sz="1100"/>
        </a:p>
      </xdr:txBody>
    </xdr:sp>
    <xdr:clientData/>
  </xdr:twoCellAnchor>
  <xdr:twoCellAnchor>
    <xdr:from>
      <xdr:col>6</xdr:col>
      <xdr:colOff>438150</xdr:colOff>
      <xdr:row>5</xdr:row>
      <xdr:rowOff>161925</xdr:rowOff>
    </xdr:from>
    <xdr:to>
      <xdr:col>8</xdr:col>
      <xdr:colOff>600075</xdr:colOff>
      <xdr:row>7</xdr:row>
      <xdr:rowOff>66675</xdr:rowOff>
    </xdr:to>
    <xdr:sp macro="" textlink="">
      <xdr:nvSpPr>
        <xdr:cNvPr id="12" name="矩形 11"/>
        <xdr:cNvSpPr/>
      </xdr:nvSpPr>
      <xdr:spPr>
        <a:xfrm>
          <a:off x="4552950" y="1209675"/>
          <a:ext cx="1533525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Application.Contracts</a:t>
          </a:r>
          <a:endParaRPr lang="zh-TW" altLang="en-US" sz="1100"/>
        </a:p>
      </xdr:txBody>
    </xdr:sp>
    <xdr:clientData/>
  </xdr:twoCellAnchor>
  <xdr:twoCellAnchor>
    <xdr:from>
      <xdr:col>9</xdr:col>
      <xdr:colOff>295276</xdr:colOff>
      <xdr:row>5</xdr:row>
      <xdr:rowOff>171450</xdr:rowOff>
    </xdr:from>
    <xdr:to>
      <xdr:col>11</xdr:col>
      <xdr:colOff>219076</xdr:colOff>
      <xdr:row>7</xdr:row>
      <xdr:rowOff>76200</xdr:rowOff>
    </xdr:to>
    <xdr:sp macro="" textlink="">
      <xdr:nvSpPr>
        <xdr:cNvPr id="13" name="矩形 12"/>
        <xdr:cNvSpPr/>
      </xdr:nvSpPr>
      <xdr:spPr>
        <a:xfrm>
          <a:off x="6467476" y="12192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omain.Shared</a:t>
          </a:r>
          <a:endParaRPr lang="zh-TW" altLang="en-US" sz="1100"/>
        </a:p>
      </xdr:txBody>
    </xdr:sp>
    <xdr:clientData/>
  </xdr:twoCellAnchor>
  <xdr:twoCellAnchor>
    <xdr:from>
      <xdr:col>9</xdr:col>
      <xdr:colOff>190501</xdr:colOff>
      <xdr:row>12</xdr:row>
      <xdr:rowOff>190500</xdr:rowOff>
    </xdr:from>
    <xdr:to>
      <xdr:col>11</xdr:col>
      <xdr:colOff>323851</xdr:colOff>
      <xdr:row>14</xdr:row>
      <xdr:rowOff>95250</xdr:rowOff>
    </xdr:to>
    <xdr:sp macro="" textlink="">
      <xdr:nvSpPr>
        <xdr:cNvPr id="14" name="矩形 13"/>
        <xdr:cNvSpPr/>
      </xdr:nvSpPr>
      <xdr:spPr>
        <a:xfrm>
          <a:off x="6362701" y="2705100"/>
          <a:ext cx="150495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</a:t>
          </a:r>
          <a:endParaRPr lang="zh-TW" altLang="en-US" sz="1100"/>
        </a:p>
      </xdr:txBody>
    </xdr:sp>
    <xdr:clientData/>
  </xdr:twoCellAnchor>
  <xdr:twoCellAnchor>
    <xdr:from>
      <xdr:col>3</xdr:col>
      <xdr:colOff>628651</xdr:colOff>
      <xdr:row>5</xdr:row>
      <xdr:rowOff>161925</xdr:rowOff>
    </xdr:from>
    <xdr:to>
      <xdr:col>5</xdr:col>
      <xdr:colOff>552451</xdr:colOff>
      <xdr:row>7</xdr:row>
      <xdr:rowOff>66675</xdr:rowOff>
    </xdr:to>
    <xdr:sp macro="" textlink="">
      <xdr:nvSpPr>
        <xdr:cNvPr id="15" name="矩形 14"/>
        <xdr:cNvSpPr/>
      </xdr:nvSpPr>
      <xdr:spPr>
        <a:xfrm>
          <a:off x="2686051" y="12096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</a:t>
          </a:r>
          <a:endParaRPr lang="zh-TW" altLang="en-US" sz="1100"/>
        </a:p>
      </xdr:txBody>
    </xdr:sp>
    <xdr:clientData/>
  </xdr:twoCellAnchor>
  <xdr:twoCellAnchor>
    <xdr:from>
      <xdr:col>3</xdr:col>
      <xdr:colOff>676276</xdr:colOff>
      <xdr:row>2</xdr:row>
      <xdr:rowOff>190500</xdr:rowOff>
    </xdr:from>
    <xdr:to>
      <xdr:col>5</xdr:col>
      <xdr:colOff>600076</xdr:colOff>
      <xdr:row>4</xdr:row>
      <xdr:rowOff>95250</xdr:rowOff>
    </xdr:to>
    <xdr:sp macro="" textlink="">
      <xdr:nvSpPr>
        <xdr:cNvPr id="16" name="矩形 15"/>
        <xdr:cNvSpPr/>
      </xdr:nvSpPr>
      <xdr:spPr>
        <a:xfrm>
          <a:off x="2733676" y="6096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HttpApi.Client</a:t>
          </a:r>
          <a:endParaRPr lang="zh-TW" altLang="en-US" sz="1100"/>
        </a:p>
      </xdr:txBody>
    </xdr:sp>
    <xdr:clientData/>
  </xdr:twoCellAnchor>
  <xdr:twoCellAnchor>
    <xdr:from>
      <xdr:col>1</xdr:col>
      <xdr:colOff>161924</xdr:colOff>
      <xdr:row>5</xdr:row>
      <xdr:rowOff>133349</xdr:rowOff>
    </xdr:from>
    <xdr:to>
      <xdr:col>3</xdr:col>
      <xdr:colOff>19049</xdr:colOff>
      <xdr:row>7</xdr:row>
      <xdr:rowOff>95250</xdr:rowOff>
    </xdr:to>
    <xdr:sp macro="" textlink="">
      <xdr:nvSpPr>
        <xdr:cNvPr id="17" name="圓角矩形 16"/>
        <xdr:cNvSpPr/>
      </xdr:nvSpPr>
      <xdr:spPr>
        <a:xfrm>
          <a:off x="847724" y="1181099"/>
          <a:ext cx="1228725" cy="381001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應用程序</a:t>
          </a:r>
          <a:r>
            <a:rPr lang="en-US" altLang="zh-CN" sz="1200">
              <a:solidFill>
                <a:sysClr val="windowText" lastClr="000000"/>
              </a:solidFill>
            </a:rPr>
            <a:t>Web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523875</xdr:colOff>
      <xdr:row>19</xdr:row>
      <xdr:rowOff>85725</xdr:rowOff>
    </xdr:from>
    <xdr:to>
      <xdr:col>11</xdr:col>
      <xdr:colOff>0</xdr:colOff>
      <xdr:row>21</xdr:row>
      <xdr:rowOff>171450</xdr:rowOff>
    </xdr:to>
    <xdr:sp macro="" textlink="">
      <xdr:nvSpPr>
        <xdr:cNvPr id="18" name="流程圖: 磁碟 17"/>
        <xdr:cNvSpPr/>
      </xdr:nvSpPr>
      <xdr:spPr>
        <a:xfrm>
          <a:off x="6696075" y="4067175"/>
          <a:ext cx="847725" cy="504825"/>
        </a:xfrm>
        <a:prstGeom prst="flowChartMagneticDisk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數據庫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123825</xdr:colOff>
      <xdr:row>8</xdr:row>
      <xdr:rowOff>95251</xdr:rowOff>
    </xdr:from>
    <xdr:to>
      <xdr:col>18</xdr:col>
      <xdr:colOff>771525</xdr:colOff>
      <xdr:row>10</xdr:row>
      <xdr:rowOff>95251</xdr:rowOff>
    </xdr:to>
    <xdr:sp macro="" textlink="">
      <xdr:nvSpPr>
        <xdr:cNvPr id="20" name="圓角矩形 19"/>
        <xdr:cNvSpPr/>
      </xdr:nvSpPr>
      <xdr:spPr>
        <a:xfrm>
          <a:off x="11782425" y="1771651"/>
          <a:ext cx="1333500" cy="4191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模塊化租戶管理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371474</xdr:colOff>
      <xdr:row>35</xdr:row>
      <xdr:rowOff>180976</xdr:rowOff>
    </xdr:from>
    <xdr:to>
      <xdr:col>13</xdr:col>
      <xdr:colOff>361949</xdr:colOff>
      <xdr:row>37</xdr:row>
      <xdr:rowOff>180976</xdr:rowOff>
    </xdr:to>
    <xdr:sp macro="" textlink="">
      <xdr:nvSpPr>
        <xdr:cNvPr id="21" name="圓角矩形 20"/>
        <xdr:cNvSpPr/>
      </xdr:nvSpPr>
      <xdr:spPr>
        <a:xfrm>
          <a:off x="7915274" y="7515226"/>
          <a:ext cx="1362075" cy="4191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>
              <a:solidFill>
                <a:sysClr val="windowText" lastClr="000000"/>
              </a:solidFill>
            </a:rPr>
            <a:t>模塊化公告管理</a:t>
          </a:r>
          <a:endParaRPr lang="zh-TW" altLang="en-US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257175</xdr:colOff>
      <xdr:row>14</xdr:row>
      <xdr:rowOff>95250</xdr:rowOff>
    </xdr:from>
    <xdr:to>
      <xdr:col>10</xdr:col>
      <xdr:colOff>257176</xdr:colOff>
      <xdr:row>16</xdr:row>
      <xdr:rowOff>47625</xdr:rowOff>
    </xdr:to>
    <xdr:cxnSp macro="">
      <xdr:nvCxnSpPr>
        <xdr:cNvPr id="22" name="直線單箭頭接點 21"/>
        <xdr:cNvCxnSpPr>
          <a:stCxn id="14" idx="2"/>
          <a:endCxn id="52" idx="0"/>
        </xdr:cNvCxnSpPr>
      </xdr:nvCxnSpPr>
      <xdr:spPr>
        <a:xfrm flipH="1">
          <a:off x="7115175" y="3028950"/>
          <a:ext cx="1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19049</xdr:colOff>
      <xdr:row>6</xdr:row>
      <xdr:rowOff>114300</xdr:rowOff>
    </xdr:from>
    <xdr:to>
      <xdr:col>3</xdr:col>
      <xdr:colOff>628651</xdr:colOff>
      <xdr:row>6</xdr:row>
      <xdr:rowOff>114300</xdr:rowOff>
    </xdr:to>
    <xdr:cxnSp macro="">
      <xdr:nvCxnSpPr>
        <xdr:cNvPr id="23" name="直線單箭頭接點 22"/>
        <xdr:cNvCxnSpPr>
          <a:stCxn id="17" idx="3"/>
          <a:endCxn id="15" idx="1"/>
        </xdr:cNvCxnSpPr>
      </xdr:nvCxnSpPr>
      <xdr:spPr>
        <a:xfrm>
          <a:off x="2076449" y="1371600"/>
          <a:ext cx="60960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552451</xdr:colOff>
      <xdr:row>6</xdr:row>
      <xdr:rowOff>114300</xdr:rowOff>
    </xdr:from>
    <xdr:to>
      <xdr:col>6</xdr:col>
      <xdr:colOff>438150</xdr:colOff>
      <xdr:row>6</xdr:row>
      <xdr:rowOff>114300</xdr:rowOff>
    </xdr:to>
    <xdr:cxnSp macro="">
      <xdr:nvCxnSpPr>
        <xdr:cNvPr id="24" name="直線單箭頭接點 23"/>
        <xdr:cNvCxnSpPr>
          <a:stCxn id="15" idx="3"/>
          <a:endCxn id="12" idx="1"/>
        </xdr:cNvCxnSpPr>
      </xdr:nvCxnSpPr>
      <xdr:spPr>
        <a:xfrm>
          <a:off x="3981451" y="1371600"/>
          <a:ext cx="5714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6</xdr:row>
      <xdr:rowOff>114300</xdr:rowOff>
    </xdr:from>
    <xdr:to>
      <xdr:col>9</xdr:col>
      <xdr:colOff>295276</xdr:colOff>
      <xdr:row>6</xdr:row>
      <xdr:rowOff>123825</xdr:rowOff>
    </xdr:to>
    <xdr:cxnSp macro="">
      <xdr:nvCxnSpPr>
        <xdr:cNvPr id="25" name="直線單箭頭接點 24"/>
        <xdr:cNvCxnSpPr>
          <a:stCxn id="12" idx="3"/>
          <a:endCxn id="13" idx="1"/>
        </xdr:cNvCxnSpPr>
      </xdr:nvCxnSpPr>
      <xdr:spPr>
        <a:xfrm>
          <a:off x="6086475" y="1371600"/>
          <a:ext cx="38100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519113</xdr:colOff>
      <xdr:row>7</xdr:row>
      <xdr:rowOff>66675</xdr:rowOff>
    </xdr:from>
    <xdr:to>
      <xdr:col>7</xdr:col>
      <xdr:colOff>523876</xdr:colOff>
      <xdr:row>9</xdr:row>
      <xdr:rowOff>133350</xdr:rowOff>
    </xdr:to>
    <xdr:cxnSp macro="">
      <xdr:nvCxnSpPr>
        <xdr:cNvPr id="26" name="直線單箭頭接點 25"/>
        <xdr:cNvCxnSpPr>
          <a:stCxn id="11" idx="0"/>
          <a:endCxn id="12" idx="2"/>
        </xdr:cNvCxnSpPr>
      </xdr:nvCxnSpPr>
      <xdr:spPr>
        <a:xfrm flipH="1" flipV="1">
          <a:off x="5319713" y="1533525"/>
          <a:ext cx="4763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485776</xdr:colOff>
      <xdr:row>10</xdr:row>
      <xdr:rowOff>85725</xdr:rowOff>
    </xdr:from>
    <xdr:to>
      <xdr:col>9</xdr:col>
      <xdr:colOff>295276</xdr:colOff>
      <xdr:row>10</xdr:row>
      <xdr:rowOff>85725</xdr:rowOff>
    </xdr:to>
    <xdr:cxnSp macro="">
      <xdr:nvCxnSpPr>
        <xdr:cNvPr id="27" name="直線單箭頭接點 26"/>
        <xdr:cNvCxnSpPr>
          <a:stCxn id="11" idx="3"/>
          <a:endCxn id="10" idx="1"/>
        </xdr:cNvCxnSpPr>
      </xdr:nvCxnSpPr>
      <xdr:spPr>
        <a:xfrm>
          <a:off x="5972176" y="218122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257176</xdr:colOff>
      <xdr:row>7</xdr:row>
      <xdr:rowOff>76200</xdr:rowOff>
    </xdr:from>
    <xdr:to>
      <xdr:col>10</xdr:col>
      <xdr:colOff>257176</xdr:colOff>
      <xdr:row>9</xdr:row>
      <xdr:rowOff>133350</xdr:rowOff>
    </xdr:to>
    <xdr:cxnSp macro="">
      <xdr:nvCxnSpPr>
        <xdr:cNvPr id="28" name="直線單箭頭接點 27"/>
        <xdr:cNvCxnSpPr>
          <a:stCxn id="10" idx="0"/>
          <a:endCxn id="13" idx="2"/>
        </xdr:cNvCxnSpPr>
      </xdr:nvCxnSpPr>
      <xdr:spPr>
        <a:xfrm flipV="1">
          <a:off x="7115176" y="1543050"/>
          <a:ext cx="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257176</xdr:colOff>
      <xdr:row>11</xdr:row>
      <xdr:rowOff>38100</xdr:rowOff>
    </xdr:from>
    <xdr:to>
      <xdr:col>10</xdr:col>
      <xdr:colOff>257176</xdr:colOff>
      <xdr:row>12</xdr:row>
      <xdr:rowOff>190500</xdr:rowOff>
    </xdr:to>
    <xdr:cxnSp macro="">
      <xdr:nvCxnSpPr>
        <xdr:cNvPr id="29" name="直線單箭頭接點 28"/>
        <xdr:cNvCxnSpPr>
          <a:stCxn id="14" idx="0"/>
          <a:endCxn id="10" idx="2"/>
        </xdr:cNvCxnSpPr>
      </xdr:nvCxnSpPr>
      <xdr:spPr>
        <a:xfrm flipV="1">
          <a:off x="7115176" y="23431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95251</xdr:colOff>
      <xdr:row>36</xdr:row>
      <xdr:rowOff>152400</xdr:rowOff>
    </xdr:from>
    <xdr:to>
      <xdr:col>18</xdr:col>
      <xdr:colOff>704851</xdr:colOff>
      <xdr:row>38</xdr:row>
      <xdr:rowOff>57150</xdr:rowOff>
    </xdr:to>
    <xdr:sp macro="" textlink="">
      <xdr:nvSpPr>
        <xdr:cNvPr id="30" name="矩形 29"/>
        <xdr:cNvSpPr/>
      </xdr:nvSpPr>
      <xdr:spPr>
        <a:xfrm>
          <a:off x="11753851" y="76962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</a:t>
          </a:r>
          <a:endParaRPr lang="zh-TW" altLang="en-US" sz="1100"/>
        </a:p>
      </xdr:txBody>
    </xdr:sp>
    <xdr:clientData/>
  </xdr:twoCellAnchor>
  <xdr:twoCellAnchor>
    <xdr:from>
      <xdr:col>14</xdr:col>
      <xdr:colOff>361951</xdr:colOff>
      <xdr:row>36</xdr:row>
      <xdr:rowOff>152400</xdr:rowOff>
    </xdr:from>
    <xdr:to>
      <xdr:col>16</xdr:col>
      <xdr:colOff>285751</xdr:colOff>
      <xdr:row>38</xdr:row>
      <xdr:rowOff>57150</xdr:rowOff>
    </xdr:to>
    <xdr:sp macro="" textlink="">
      <xdr:nvSpPr>
        <xdr:cNvPr id="31" name="矩形 30"/>
        <xdr:cNvSpPr/>
      </xdr:nvSpPr>
      <xdr:spPr>
        <a:xfrm>
          <a:off x="9963151" y="76962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</a:t>
          </a:r>
          <a:endParaRPr lang="zh-TW" altLang="en-US" sz="1100"/>
        </a:p>
      </xdr:txBody>
    </xdr:sp>
    <xdr:clientData/>
  </xdr:twoCellAnchor>
  <xdr:twoCellAnchor>
    <xdr:from>
      <xdr:col>14</xdr:col>
      <xdr:colOff>238125</xdr:colOff>
      <xdr:row>32</xdr:row>
      <xdr:rowOff>180975</xdr:rowOff>
    </xdr:from>
    <xdr:to>
      <xdr:col>16</xdr:col>
      <xdr:colOff>400050</xdr:colOff>
      <xdr:row>34</xdr:row>
      <xdr:rowOff>85725</xdr:rowOff>
    </xdr:to>
    <xdr:sp macro="" textlink="">
      <xdr:nvSpPr>
        <xdr:cNvPr id="32" name="矩形 31"/>
        <xdr:cNvSpPr/>
      </xdr:nvSpPr>
      <xdr:spPr>
        <a:xfrm>
          <a:off x="9839325" y="6886575"/>
          <a:ext cx="1533525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Application.Contracts</a:t>
          </a:r>
          <a:endParaRPr lang="zh-TW" altLang="en-US" sz="1100"/>
        </a:p>
      </xdr:txBody>
    </xdr:sp>
    <xdr:clientData/>
  </xdr:twoCellAnchor>
  <xdr:twoCellAnchor>
    <xdr:from>
      <xdr:col>17</xdr:col>
      <xdr:colOff>95251</xdr:colOff>
      <xdr:row>32</xdr:row>
      <xdr:rowOff>190500</xdr:rowOff>
    </xdr:from>
    <xdr:to>
      <xdr:col>18</xdr:col>
      <xdr:colOff>704851</xdr:colOff>
      <xdr:row>34</xdr:row>
      <xdr:rowOff>95250</xdr:rowOff>
    </xdr:to>
    <xdr:sp macro="" textlink="">
      <xdr:nvSpPr>
        <xdr:cNvPr id="33" name="矩形 32"/>
        <xdr:cNvSpPr/>
      </xdr:nvSpPr>
      <xdr:spPr>
        <a:xfrm>
          <a:off x="11753851" y="68961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D</a:t>
          </a:r>
          <a:r>
            <a:rPr lang="en-US" altLang="zh-CN" sz="1100"/>
            <a:t>omain.Shared</a:t>
          </a:r>
          <a:endParaRPr lang="zh-TW" altLang="en-US" sz="1100"/>
        </a:p>
      </xdr:txBody>
    </xdr:sp>
    <xdr:clientData/>
  </xdr:twoCellAnchor>
  <xdr:twoCellAnchor>
    <xdr:from>
      <xdr:col>16</xdr:col>
      <xdr:colOff>676276</xdr:colOff>
      <xdr:row>40</xdr:row>
      <xdr:rowOff>0</xdr:rowOff>
    </xdr:from>
    <xdr:to>
      <xdr:col>18</xdr:col>
      <xdr:colOff>809626</xdr:colOff>
      <xdr:row>41</xdr:row>
      <xdr:rowOff>114300</xdr:rowOff>
    </xdr:to>
    <xdr:sp macro="" textlink="">
      <xdr:nvSpPr>
        <xdr:cNvPr id="34" name="矩形 33"/>
        <xdr:cNvSpPr/>
      </xdr:nvSpPr>
      <xdr:spPr>
        <a:xfrm>
          <a:off x="11649076" y="8382000"/>
          <a:ext cx="150495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</a:t>
          </a:r>
          <a:endParaRPr lang="zh-TW" altLang="en-US" sz="1100"/>
        </a:p>
      </xdr:txBody>
    </xdr:sp>
    <xdr:clientData/>
  </xdr:twoCellAnchor>
  <xdr:twoCellAnchor>
    <xdr:from>
      <xdr:col>11</xdr:col>
      <xdr:colOff>428626</xdr:colOff>
      <xdr:row>32</xdr:row>
      <xdr:rowOff>180975</xdr:rowOff>
    </xdr:from>
    <xdr:to>
      <xdr:col>13</xdr:col>
      <xdr:colOff>352426</xdr:colOff>
      <xdr:row>34</xdr:row>
      <xdr:rowOff>85725</xdr:rowOff>
    </xdr:to>
    <xdr:sp macro="" textlink="">
      <xdr:nvSpPr>
        <xdr:cNvPr id="35" name="矩形 34"/>
        <xdr:cNvSpPr/>
      </xdr:nvSpPr>
      <xdr:spPr>
        <a:xfrm>
          <a:off x="7972426" y="68865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</a:t>
          </a:r>
          <a:endParaRPr lang="zh-TW" altLang="en-US" sz="1100"/>
        </a:p>
      </xdr:txBody>
    </xdr:sp>
    <xdr:clientData/>
  </xdr:twoCellAnchor>
  <xdr:twoCellAnchor>
    <xdr:from>
      <xdr:col>14</xdr:col>
      <xdr:colOff>352426</xdr:colOff>
      <xdr:row>29</xdr:row>
      <xdr:rowOff>123825</xdr:rowOff>
    </xdr:from>
    <xdr:to>
      <xdr:col>16</xdr:col>
      <xdr:colOff>276226</xdr:colOff>
      <xdr:row>31</xdr:row>
      <xdr:rowOff>28575</xdr:rowOff>
    </xdr:to>
    <xdr:sp macro="" textlink="">
      <xdr:nvSpPr>
        <xdr:cNvPr id="36" name="矩形 35"/>
        <xdr:cNvSpPr/>
      </xdr:nvSpPr>
      <xdr:spPr>
        <a:xfrm>
          <a:off x="9953626" y="620077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HttpApi.Client</a:t>
          </a:r>
          <a:endParaRPr lang="zh-TW" altLang="en-US" sz="1100"/>
        </a:p>
      </xdr:txBody>
    </xdr:sp>
    <xdr:clientData/>
  </xdr:twoCellAnchor>
  <xdr:twoCellAnchor>
    <xdr:from>
      <xdr:col>12</xdr:col>
      <xdr:colOff>385762</xdr:colOff>
      <xdr:row>34</xdr:row>
      <xdr:rowOff>85725</xdr:rowOff>
    </xdr:from>
    <xdr:to>
      <xdr:col>12</xdr:col>
      <xdr:colOff>390526</xdr:colOff>
      <xdr:row>35</xdr:row>
      <xdr:rowOff>180976</xdr:rowOff>
    </xdr:to>
    <xdr:cxnSp macro="">
      <xdr:nvCxnSpPr>
        <xdr:cNvPr id="39" name="直線單箭頭接點 38"/>
        <xdr:cNvCxnSpPr>
          <a:endCxn id="35" idx="2"/>
        </xdr:cNvCxnSpPr>
      </xdr:nvCxnSpPr>
      <xdr:spPr>
        <a:xfrm flipV="1">
          <a:off x="8615362" y="7210425"/>
          <a:ext cx="4764" cy="30480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352426</xdr:colOff>
      <xdr:row>33</xdr:row>
      <xdr:rowOff>133350</xdr:rowOff>
    </xdr:from>
    <xdr:to>
      <xdr:col>14</xdr:col>
      <xdr:colOff>238125</xdr:colOff>
      <xdr:row>33</xdr:row>
      <xdr:rowOff>133350</xdr:rowOff>
    </xdr:to>
    <xdr:cxnSp macro="">
      <xdr:nvCxnSpPr>
        <xdr:cNvPr id="40" name="直線單箭頭接點 39"/>
        <xdr:cNvCxnSpPr>
          <a:stCxn id="35" idx="3"/>
          <a:endCxn id="32" idx="1"/>
        </xdr:cNvCxnSpPr>
      </xdr:nvCxnSpPr>
      <xdr:spPr>
        <a:xfrm>
          <a:off x="9267826" y="7048500"/>
          <a:ext cx="57149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400050</xdr:colOff>
      <xdr:row>33</xdr:row>
      <xdr:rowOff>133350</xdr:rowOff>
    </xdr:from>
    <xdr:to>
      <xdr:col>17</xdr:col>
      <xdr:colOff>95251</xdr:colOff>
      <xdr:row>33</xdr:row>
      <xdr:rowOff>142875</xdr:rowOff>
    </xdr:to>
    <xdr:cxnSp macro="">
      <xdr:nvCxnSpPr>
        <xdr:cNvPr id="41" name="直線單箭頭接點 40"/>
        <xdr:cNvCxnSpPr>
          <a:stCxn id="32" idx="3"/>
          <a:endCxn id="33" idx="1"/>
        </xdr:cNvCxnSpPr>
      </xdr:nvCxnSpPr>
      <xdr:spPr>
        <a:xfrm>
          <a:off x="11372850" y="7048500"/>
          <a:ext cx="381001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319088</xdr:colOff>
      <xdr:row>34</xdr:row>
      <xdr:rowOff>85725</xdr:rowOff>
    </xdr:from>
    <xdr:to>
      <xdr:col>15</xdr:col>
      <xdr:colOff>323851</xdr:colOff>
      <xdr:row>36</xdr:row>
      <xdr:rowOff>152400</xdr:rowOff>
    </xdr:to>
    <xdr:cxnSp macro="">
      <xdr:nvCxnSpPr>
        <xdr:cNvPr id="42" name="直線單箭頭接點 41"/>
        <xdr:cNvCxnSpPr>
          <a:stCxn id="31" idx="0"/>
          <a:endCxn id="32" idx="2"/>
        </xdr:cNvCxnSpPr>
      </xdr:nvCxnSpPr>
      <xdr:spPr>
        <a:xfrm flipH="1" flipV="1">
          <a:off x="10606088" y="7210425"/>
          <a:ext cx="4763" cy="4857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285751</xdr:colOff>
      <xdr:row>37</xdr:row>
      <xdr:rowOff>104775</xdr:rowOff>
    </xdr:from>
    <xdr:to>
      <xdr:col>17</xdr:col>
      <xdr:colOff>95251</xdr:colOff>
      <xdr:row>37</xdr:row>
      <xdr:rowOff>104775</xdr:rowOff>
    </xdr:to>
    <xdr:cxnSp macro="">
      <xdr:nvCxnSpPr>
        <xdr:cNvPr id="43" name="直線單箭頭接點 42"/>
        <xdr:cNvCxnSpPr>
          <a:stCxn id="31" idx="3"/>
          <a:endCxn id="30" idx="1"/>
        </xdr:cNvCxnSpPr>
      </xdr:nvCxnSpPr>
      <xdr:spPr>
        <a:xfrm>
          <a:off x="11258551" y="7858125"/>
          <a:ext cx="495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57151</xdr:colOff>
      <xdr:row>34</xdr:row>
      <xdr:rowOff>95250</xdr:rowOff>
    </xdr:from>
    <xdr:to>
      <xdr:col>18</xdr:col>
      <xdr:colOff>57151</xdr:colOff>
      <xdr:row>36</xdr:row>
      <xdr:rowOff>152400</xdr:rowOff>
    </xdr:to>
    <xdr:cxnSp macro="">
      <xdr:nvCxnSpPr>
        <xdr:cNvPr id="44" name="直線單箭頭接點 43"/>
        <xdr:cNvCxnSpPr>
          <a:stCxn id="30" idx="0"/>
          <a:endCxn id="33" idx="2"/>
        </xdr:cNvCxnSpPr>
      </xdr:nvCxnSpPr>
      <xdr:spPr>
        <a:xfrm flipV="1">
          <a:off x="12401551" y="7219950"/>
          <a:ext cx="0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57151</xdr:colOff>
      <xdr:row>38</xdr:row>
      <xdr:rowOff>57150</xdr:rowOff>
    </xdr:from>
    <xdr:to>
      <xdr:col>18</xdr:col>
      <xdr:colOff>57151</xdr:colOff>
      <xdr:row>40</xdr:row>
      <xdr:rowOff>0</xdr:rowOff>
    </xdr:to>
    <xdr:cxnSp macro="">
      <xdr:nvCxnSpPr>
        <xdr:cNvPr id="45" name="直線單箭頭接點 44"/>
        <xdr:cNvCxnSpPr>
          <a:stCxn id="34" idx="0"/>
          <a:endCxn id="30" idx="2"/>
        </xdr:cNvCxnSpPr>
      </xdr:nvCxnSpPr>
      <xdr:spPr>
        <a:xfrm flipV="1">
          <a:off x="12401551" y="8020050"/>
          <a:ext cx="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314326</xdr:colOff>
      <xdr:row>31</xdr:row>
      <xdr:rowOff>28575</xdr:rowOff>
    </xdr:from>
    <xdr:to>
      <xdr:col>15</xdr:col>
      <xdr:colOff>319088</xdr:colOff>
      <xdr:row>32</xdr:row>
      <xdr:rowOff>180975</xdr:rowOff>
    </xdr:to>
    <xdr:cxnSp macro="">
      <xdr:nvCxnSpPr>
        <xdr:cNvPr id="46" name="直線單箭頭接點 45"/>
        <xdr:cNvCxnSpPr>
          <a:stCxn id="36" idx="2"/>
          <a:endCxn id="32" idx="0"/>
        </xdr:cNvCxnSpPr>
      </xdr:nvCxnSpPr>
      <xdr:spPr>
        <a:xfrm>
          <a:off x="10601326" y="6524625"/>
          <a:ext cx="4762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533400</xdr:colOff>
      <xdr:row>26</xdr:row>
      <xdr:rowOff>28575</xdr:rowOff>
    </xdr:from>
    <xdr:to>
      <xdr:col>18</xdr:col>
      <xdr:colOff>76200</xdr:colOff>
      <xdr:row>29</xdr:row>
      <xdr:rowOff>12573</xdr:rowOff>
    </xdr:to>
    <xdr:sp macro="" textlink="">
      <xdr:nvSpPr>
        <xdr:cNvPr id="47" name="直線圖說文字 2 (加上強調線) 46"/>
        <xdr:cNvSpPr/>
      </xdr:nvSpPr>
      <xdr:spPr>
        <a:xfrm>
          <a:off x="11506200" y="5476875"/>
          <a:ext cx="914400" cy="612648"/>
        </a:xfrm>
        <a:prstGeom prst="accentCallout2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>
              <a:solidFill>
                <a:sysClr val="windowText" lastClr="000000"/>
              </a:solidFill>
            </a:rPr>
            <a:t>外部系統調用接口</a:t>
          </a:r>
          <a:endParaRPr lang="zh-TW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190501</xdr:colOff>
      <xdr:row>9</xdr:row>
      <xdr:rowOff>133350</xdr:rowOff>
    </xdr:from>
    <xdr:to>
      <xdr:col>3</xdr:col>
      <xdr:colOff>114301</xdr:colOff>
      <xdr:row>11</xdr:row>
      <xdr:rowOff>38100</xdr:rowOff>
    </xdr:to>
    <xdr:sp macro="" textlink="">
      <xdr:nvSpPr>
        <xdr:cNvPr id="48" name="矩形 47"/>
        <xdr:cNvSpPr/>
      </xdr:nvSpPr>
      <xdr:spPr>
        <a:xfrm>
          <a:off x="876301" y="2019300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HttpApi.Host</a:t>
          </a:r>
        </a:p>
      </xdr:txBody>
    </xdr:sp>
    <xdr:clientData/>
  </xdr:twoCellAnchor>
  <xdr:twoCellAnchor>
    <xdr:from>
      <xdr:col>1</xdr:col>
      <xdr:colOff>209551</xdr:colOff>
      <xdr:row>16</xdr:row>
      <xdr:rowOff>47625</xdr:rowOff>
    </xdr:from>
    <xdr:to>
      <xdr:col>3</xdr:col>
      <xdr:colOff>133351</xdr:colOff>
      <xdr:row>17</xdr:row>
      <xdr:rowOff>161925</xdr:rowOff>
    </xdr:to>
    <xdr:sp macro="" textlink="">
      <xdr:nvSpPr>
        <xdr:cNvPr id="49" name="矩形 48"/>
        <xdr:cNvSpPr/>
      </xdr:nvSpPr>
      <xdr:spPr>
        <a:xfrm>
          <a:off x="895351" y="3400425"/>
          <a:ext cx="1295400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IdentityServer</a:t>
          </a:r>
        </a:p>
      </xdr:txBody>
    </xdr:sp>
    <xdr:clientData/>
  </xdr:twoCellAnchor>
  <xdr:twoCellAnchor>
    <xdr:from>
      <xdr:col>5</xdr:col>
      <xdr:colOff>600076</xdr:colOff>
      <xdr:row>3</xdr:row>
      <xdr:rowOff>142875</xdr:rowOff>
    </xdr:from>
    <xdr:to>
      <xdr:col>7</xdr:col>
      <xdr:colOff>519113</xdr:colOff>
      <xdr:row>5</xdr:row>
      <xdr:rowOff>161925</xdr:rowOff>
    </xdr:to>
    <xdr:cxnSp macro="">
      <xdr:nvCxnSpPr>
        <xdr:cNvPr id="50" name="肘形接點 49"/>
        <xdr:cNvCxnSpPr>
          <a:stCxn id="16" idx="3"/>
          <a:endCxn id="12" idx="0"/>
        </xdr:cNvCxnSpPr>
      </xdr:nvCxnSpPr>
      <xdr:spPr>
        <a:xfrm>
          <a:off x="4029076" y="771525"/>
          <a:ext cx="1290637" cy="43815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90486</xdr:colOff>
      <xdr:row>3</xdr:row>
      <xdr:rowOff>142876</xdr:rowOff>
    </xdr:from>
    <xdr:to>
      <xdr:col>3</xdr:col>
      <xdr:colOff>676275</xdr:colOff>
      <xdr:row>5</xdr:row>
      <xdr:rowOff>133350</xdr:rowOff>
    </xdr:to>
    <xdr:cxnSp macro="">
      <xdr:nvCxnSpPr>
        <xdr:cNvPr id="51" name="肘形接點 50"/>
        <xdr:cNvCxnSpPr>
          <a:stCxn id="17" idx="0"/>
          <a:endCxn id="16" idx="1"/>
        </xdr:cNvCxnSpPr>
      </xdr:nvCxnSpPr>
      <xdr:spPr>
        <a:xfrm rot="5400000" flipH="1" flipV="1">
          <a:off x="1893094" y="340518"/>
          <a:ext cx="409574" cy="1271589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485775</xdr:colOff>
      <xdr:row>16</xdr:row>
      <xdr:rowOff>47625</xdr:rowOff>
    </xdr:from>
    <xdr:to>
      <xdr:col>12</xdr:col>
      <xdr:colOff>28574</xdr:colOff>
      <xdr:row>17</xdr:row>
      <xdr:rowOff>161925</xdr:rowOff>
    </xdr:to>
    <xdr:sp macro="" textlink="">
      <xdr:nvSpPr>
        <xdr:cNvPr id="52" name="矩形 51"/>
        <xdr:cNvSpPr/>
      </xdr:nvSpPr>
      <xdr:spPr>
        <a:xfrm>
          <a:off x="5972175" y="3400425"/>
          <a:ext cx="2285999" cy="32385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EntityFrameworkCore.DbMigrations</a:t>
          </a:r>
          <a:endParaRPr lang="zh-TW" altLang="en-US" sz="1100"/>
        </a:p>
      </xdr:txBody>
    </xdr:sp>
    <xdr:clientData/>
  </xdr:twoCellAnchor>
  <xdr:twoCellAnchor>
    <xdr:from>
      <xdr:col>10</xdr:col>
      <xdr:colOff>257175</xdr:colOff>
      <xdr:row>17</xdr:row>
      <xdr:rowOff>161925</xdr:rowOff>
    </xdr:from>
    <xdr:to>
      <xdr:col>10</xdr:col>
      <xdr:colOff>261938</xdr:colOff>
      <xdr:row>19</xdr:row>
      <xdr:rowOff>85725</xdr:rowOff>
    </xdr:to>
    <xdr:cxnSp macro="">
      <xdr:nvCxnSpPr>
        <xdr:cNvPr id="53" name="直線單箭頭接點 52"/>
        <xdr:cNvCxnSpPr>
          <a:stCxn id="52" idx="2"/>
          <a:endCxn id="18" idx="1"/>
        </xdr:cNvCxnSpPr>
      </xdr:nvCxnSpPr>
      <xdr:spPr>
        <a:xfrm>
          <a:off x="7115175" y="3724275"/>
          <a:ext cx="4763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133351</xdr:colOff>
      <xdr:row>17</xdr:row>
      <xdr:rowOff>0</xdr:rowOff>
    </xdr:from>
    <xdr:to>
      <xdr:col>8</xdr:col>
      <xdr:colOff>485775</xdr:colOff>
      <xdr:row>17</xdr:row>
      <xdr:rowOff>0</xdr:rowOff>
    </xdr:to>
    <xdr:cxnSp macro="">
      <xdr:nvCxnSpPr>
        <xdr:cNvPr id="54" name="直線單箭頭接點 53"/>
        <xdr:cNvCxnSpPr>
          <a:stCxn id="49" idx="3"/>
          <a:endCxn id="52" idx="1"/>
        </xdr:cNvCxnSpPr>
      </xdr:nvCxnSpPr>
      <xdr:spPr>
        <a:xfrm>
          <a:off x="2190751" y="3562350"/>
          <a:ext cx="378142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114301</xdr:colOff>
      <xdr:row>10</xdr:row>
      <xdr:rowOff>85725</xdr:rowOff>
    </xdr:from>
    <xdr:to>
      <xdr:col>6</xdr:col>
      <xdr:colOff>561976</xdr:colOff>
      <xdr:row>10</xdr:row>
      <xdr:rowOff>85725</xdr:rowOff>
    </xdr:to>
    <xdr:cxnSp macro="">
      <xdr:nvCxnSpPr>
        <xdr:cNvPr id="55" name="直線單箭頭接點 54"/>
        <xdr:cNvCxnSpPr>
          <a:stCxn id="48" idx="3"/>
          <a:endCxn id="11" idx="1"/>
        </xdr:cNvCxnSpPr>
      </xdr:nvCxnSpPr>
      <xdr:spPr>
        <a:xfrm>
          <a:off x="2171701" y="2181225"/>
          <a:ext cx="2505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209553</xdr:colOff>
      <xdr:row>7</xdr:row>
      <xdr:rowOff>66675</xdr:rowOff>
    </xdr:from>
    <xdr:to>
      <xdr:col>4</xdr:col>
      <xdr:colOff>590551</xdr:colOff>
      <xdr:row>10</xdr:row>
      <xdr:rowOff>85725</xdr:rowOff>
    </xdr:to>
    <xdr:cxnSp macro="">
      <xdr:nvCxnSpPr>
        <xdr:cNvPr id="56" name="肘形接點 55"/>
        <xdr:cNvCxnSpPr>
          <a:endCxn id="15" idx="2"/>
        </xdr:cNvCxnSpPr>
      </xdr:nvCxnSpPr>
      <xdr:spPr>
        <a:xfrm flipV="1">
          <a:off x="2266953" y="1533525"/>
          <a:ext cx="1066798" cy="64770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114301</xdr:colOff>
      <xdr:row>10</xdr:row>
      <xdr:rowOff>85725</xdr:rowOff>
    </xdr:from>
    <xdr:to>
      <xdr:col>8</xdr:col>
      <xdr:colOff>485775</xdr:colOff>
      <xdr:row>17</xdr:row>
      <xdr:rowOff>0</xdr:rowOff>
    </xdr:to>
    <xdr:cxnSp macro="">
      <xdr:nvCxnSpPr>
        <xdr:cNvPr id="57" name="肘形接點 56"/>
        <xdr:cNvCxnSpPr>
          <a:stCxn id="48" idx="3"/>
          <a:endCxn id="52" idx="1"/>
        </xdr:cNvCxnSpPr>
      </xdr:nvCxnSpPr>
      <xdr:spPr>
        <a:xfrm>
          <a:off x="2171701" y="2181225"/>
          <a:ext cx="3800474" cy="13811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9"/>
  <sheetViews>
    <sheetView topLeftCell="A16" zoomScaleNormal="100" workbookViewId="0">
      <selection activeCell="B41" sqref="B41"/>
    </sheetView>
  </sheetViews>
  <sheetFormatPr defaultRowHeight="16.5"/>
  <cols>
    <col min="1" max="1" width="8.5" style="30" bestFit="1" customWidth="1"/>
    <col min="2" max="2" width="37.25" style="58" customWidth="1"/>
    <col min="3" max="3" width="12.625" style="30" customWidth="1"/>
    <col min="4" max="4" width="6.75" style="30" bestFit="1" customWidth="1"/>
    <col min="5" max="5" width="6.25" style="30" bestFit="1" customWidth="1"/>
    <col min="6" max="6" width="5.625" style="30" bestFit="1" customWidth="1"/>
    <col min="7" max="7" width="5.625" style="30" customWidth="1"/>
    <col min="8" max="8" width="4.75" style="30" customWidth="1"/>
    <col min="9" max="9" width="5" style="30" customWidth="1"/>
    <col min="10" max="12" width="5.625" style="30" bestFit="1" customWidth="1"/>
    <col min="13" max="13" width="5.625" style="30" customWidth="1"/>
    <col min="14" max="20" width="5.625" style="30" bestFit="1" customWidth="1"/>
    <col min="21" max="21" width="5.625" style="30" customWidth="1"/>
    <col min="22" max="30" width="5.625" style="30" bestFit="1" customWidth="1"/>
    <col min="31" max="16384" width="9" style="30"/>
  </cols>
  <sheetData>
    <row r="1" spans="1:30">
      <c r="A1" s="94" t="s">
        <v>60</v>
      </c>
      <c r="B1" s="95" t="s">
        <v>61</v>
      </c>
      <c r="C1" s="96" t="s">
        <v>62</v>
      </c>
      <c r="D1" s="97" t="s">
        <v>63</v>
      </c>
      <c r="E1" s="95" t="s">
        <v>64</v>
      </c>
      <c r="F1" s="99" t="s">
        <v>160</v>
      </c>
      <c r="G1" s="99"/>
      <c r="H1" s="99"/>
      <c r="I1" s="99"/>
      <c r="J1" s="100" t="s">
        <v>161</v>
      </c>
      <c r="K1" s="101"/>
      <c r="L1" s="101"/>
      <c r="M1" s="101"/>
      <c r="N1" s="99" t="s">
        <v>162</v>
      </c>
      <c r="O1" s="99"/>
      <c r="P1" s="99"/>
      <c r="Q1" s="99"/>
      <c r="R1" s="100" t="s">
        <v>163</v>
      </c>
      <c r="S1" s="101"/>
      <c r="T1" s="101"/>
      <c r="U1" s="101"/>
      <c r="V1" s="102"/>
      <c r="W1" s="100" t="s">
        <v>164</v>
      </c>
      <c r="X1" s="101"/>
      <c r="Y1" s="101"/>
      <c r="Z1" s="102"/>
      <c r="AA1" s="100" t="s">
        <v>165</v>
      </c>
      <c r="AB1" s="101"/>
      <c r="AC1" s="101"/>
      <c r="AD1" s="102"/>
    </row>
    <row r="2" spans="1:30">
      <c r="A2" s="94"/>
      <c r="B2" s="95"/>
      <c r="C2" s="96"/>
      <c r="D2" s="98"/>
      <c r="E2" s="96"/>
      <c r="F2" s="31" t="s">
        <v>166</v>
      </c>
      <c r="G2" s="31" t="s">
        <v>167</v>
      </c>
      <c r="H2" s="31" t="s">
        <v>168</v>
      </c>
      <c r="I2" s="31" t="s">
        <v>169</v>
      </c>
      <c r="J2" s="31" t="s">
        <v>170</v>
      </c>
      <c r="K2" s="31" t="s">
        <v>171</v>
      </c>
      <c r="L2" s="31" t="s">
        <v>172</v>
      </c>
      <c r="M2" s="31" t="s">
        <v>173</v>
      </c>
      <c r="N2" s="31" t="s">
        <v>174</v>
      </c>
      <c r="O2" s="31" t="s">
        <v>175</v>
      </c>
      <c r="P2" s="31" t="s">
        <v>176</v>
      </c>
      <c r="Q2" s="31" t="s">
        <v>177</v>
      </c>
      <c r="R2" s="31" t="s">
        <v>178</v>
      </c>
      <c r="S2" s="31" t="s">
        <v>179</v>
      </c>
      <c r="T2" s="31" t="s">
        <v>180</v>
      </c>
      <c r="U2" s="31" t="s">
        <v>181</v>
      </c>
      <c r="V2" s="31" t="s">
        <v>182</v>
      </c>
      <c r="W2" s="31" t="s">
        <v>183</v>
      </c>
      <c r="X2" s="31" t="s">
        <v>184</v>
      </c>
      <c r="Y2" s="31" t="s">
        <v>185</v>
      </c>
      <c r="Z2" s="31" t="s">
        <v>186</v>
      </c>
      <c r="AA2" s="31" t="s">
        <v>187</v>
      </c>
      <c r="AB2" s="31" t="s">
        <v>188</v>
      </c>
      <c r="AC2" s="31" t="s">
        <v>65</v>
      </c>
      <c r="AD2" s="31" t="s">
        <v>66</v>
      </c>
    </row>
    <row r="3" spans="1:30" s="33" customFormat="1">
      <c r="A3" s="90" t="s">
        <v>202</v>
      </c>
      <c r="B3" s="90"/>
      <c r="C3" s="90"/>
      <c r="D3" s="32">
        <f>D4+D8+D11</f>
        <v>92</v>
      </c>
      <c r="E3" s="32">
        <f>E4+E8+E11</f>
        <v>163</v>
      </c>
      <c r="F3" s="91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</row>
    <row r="4" spans="1:30" s="33" customFormat="1">
      <c r="A4" s="34">
        <v>1</v>
      </c>
      <c r="B4" s="35" t="s">
        <v>58</v>
      </c>
      <c r="C4" s="36"/>
      <c r="D4" s="37">
        <v>10</v>
      </c>
      <c r="E4" s="37">
        <v>12</v>
      </c>
      <c r="F4" s="36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</row>
    <row r="5" spans="1:30" s="33" customFormat="1">
      <c r="A5" s="39" t="s">
        <v>78</v>
      </c>
      <c r="B5" s="29" t="s">
        <v>79</v>
      </c>
      <c r="C5" s="40" t="s">
        <v>134</v>
      </c>
      <c r="D5" s="41"/>
      <c r="E5" s="41">
        <v>5</v>
      </c>
      <c r="F5" s="84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</row>
    <row r="6" spans="1:30" s="33" customFormat="1">
      <c r="A6" s="39" t="s">
        <v>67</v>
      </c>
      <c r="B6" s="29" t="s">
        <v>59</v>
      </c>
      <c r="C6" s="40" t="s">
        <v>134</v>
      </c>
      <c r="D6" s="41"/>
      <c r="E6" s="41">
        <v>5</v>
      </c>
      <c r="F6" s="84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</row>
    <row r="7" spans="1:30" s="33" customFormat="1">
      <c r="A7" s="39" t="s">
        <v>80</v>
      </c>
      <c r="B7" s="29" t="s">
        <v>81</v>
      </c>
      <c r="C7" s="40" t="s">
        <v>71</v>
      </c>
      <c r="D7" s="41"/>
      <c r="E7" s="41">
        <v>2</v>
      </c>
      <c r="F7" s="60"/>
      <c r="G7" s="38"/>
      <c r="H7" s="38"/>
      <c r="I7" s="38"/>
      <c r="J7" s="38"/>
      <c r="K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</row>
    <row r="8" spans="1:30" s="33" customFormat="1">
      <c r="A8" s="34" t="s">
        <v>82</v>
      </c>
      <c r="B8" s="35" t="s">
        <v>83</v>
      </c>
      <c r="C8" s="36"/>
      <c r="D8" s="37">
        <v>8</v>
      </c>
      <c r="E8" s="37">
        <v>8</v>
      </c>
      <c r="F8" s="36"/>
      <c r="G8" s="36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</row>
    <row r="9" spans="1:30" s="33" customFormat="1">
      <c r="A9" s="39" t="s">
        <v>84</v>
      </c>
      <c r="B9" s="29" t="s">
        <v>154</v>
      </c>
      <c r="C9" s="40" t="s">
        <v>70</v>
      </c>
      <c r="D9" s="41"/>
      <c r="E9" s="41">
        <v>3</v>
      </c>
      <c r="F9" s="4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</row>
    <row r="10" spans="1:30" s="33" customFormat="1">
      <c r="A10" s="39" t="s">
        <v>68</v>
      </c>
      <c r="B10" s="29" t="s">
        <v>69</v>
      </c>
      <c r="C10" s="40" t="s">
        <v>71</v>
      </c>
      <c r="D10" s="41"/>
      <c r="E10" s="41">
        <v>5</v>
      </c>
      <c r="G10" s="49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</row>
    <row r="11" spans="1:30" s="33" customFormat="1">
      <c r="A11" s="34" t="s">
        <v>85</v>
      </c>
      <c r="B11" s="35" t="s">
        <v>86</v>
      </c>
      <c r="C11" s="34"/>
      <c r="D11" s="44">
        <f>D15+D12+D26+D18+D30+D38</f>
        <v>74</v>
      </c>
      <c r="E11" s="37">
        <f>E15+E12+E26+E18+E30+E38</f>
        <v>143</v>
      </c>
      <c r="F11" s="38"/>
      <c r="G11" s="38"/>
      <c r="H11" s="36"/>
      <c r="I11" s="36"/>
      <c r="J11" s="36"/>
      <c r="K11" s="36"/>
      <c r="L11" s="36"/>
      <c r="M11" s="36"/>
      <c r="N11" s="36"/>
      <c r="O11" s="36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</row>
    <row r="12" spans="1:30" s="33" customFormat="1">
      <c r="A12" s="45" t="s">
        <v>153</v>
      </c>
      <c r="B12" s="77" t="s">
        <v>149</v>
      </c>
      <c r="C12" s="50"/>
      <c r="D12" s="47">
        <v>2</v>
      </c>
      <c r="E12" s="47">
        <v>8</v>
      </c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</row>
    <row r="13" spans="1:30" s="33" customFormat="1">
      <c r="A13" s="48" t="s">
        <v>87</v>
      </c>
      <c r="B13" s="51" t="s">
        <v>151</v>
      </c>
      <c r="C13" s="40" t="s">
        <v>70</v>
      </c>
      <c r="D13" s="41"/>
      <c r="E13" s="41">
        <v>3</v>
      </c>
      <c r="F13" s="38"/>
      <c r="G13" s="38"/>
      <c r="H13" s="38"/>
      <c r="I13" s="49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</row>
    <row r="14" spans="1:30" s="33" customFormat="1">
      <c r="A14" s="48" t="s">
        <v>155</v>
      </c>
      <c r="B14" s="51" t="s">
        <v>156</v>
      </c>
      <c r="C14" s="40" t="s">
        <v>70</v>
      </c>
      <c r="D14" s="41"/>
      <c r="E14" s="41">
        <v>2</v>
      </c>
      <c r="F14" s="38"/>
      <c r="G14" s="38"/>
      <c r="H14" s="38"/>
      <c r="I14" s="38"/>
      <c r="K14" s="38"/>
      <c r="L14" s="38"/>
      <c r="M14" s="38"/>
      <c r="N14" s="38"/>
      <c r="O14" s="49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</row>
    <row r="15" spans="1:30" s="33" customFormat="1">
      <c r="A15" s="45" t="s">
        <v>152</v>
      </c>
      <c r="B15" s="46" t="s">
        <v>119</v>
      </c>
      <c r="C15" s="50"/>
      <c r="D15" s="47">
        <v>2</v>
      </c>
      <c r="E15" s="47">
        <f>SUM(E16:E17)</f>
        <v>5</v>
      </c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</row>
    <row r="16" spans="1:30" s="33" customFormat="1">
      <c r="A16" s="48" t="s">
        <v>72</v>
      </c>
      <c r="B16" s="52" t="s">
        <v>120</v>
      </c>
      <c r="C16" s="40" t="s">
        <v>199</v>
      </c>
      <c r="D16" s="53"/>
      <c r="E16" s="53">
        <v>3</v>
      </c>
      <c r="F16" s="38"/>
      <c r="G16" s="38"/>
      <c r="H16" s="85"/>
      <c r="J16" s="38"/>
      <c r="K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38"/>
      <c r="AB16" s="38"/>
      <c r="AC16" s="38"/>
      <c r="AD16" s="38"/>
    </row>
    <row r="17" spans="1:30" s="33" customFormat="1">
      <c r="A17" s="48" t="s">
        <v>150</v>
      </c>
      <c r="B17" s="52" t="s">
        <v>121</v>
      </c>
      <c r="C17" s="40" t="s">
        <v>199</v>
      </c>
      <c r="D17" s="53"/>
      <c r="E17" s="53">
        <v>2</v>
      </c>
      <c r="F17" s="38"/>
      <c r="G17" s="38"/>
      <c r="H17" s="85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</row>
    <row r="18" spans="1:30" s="33" customFormat="1">
      <c r="A18" s="45" t="s">
        <v>91</v>
      </c>
      <c r="B18" s="77" t="s">
        <v>136</v>
      </c>
      <c r="C18" s="50"/>
      <c r="D18" s="47">
        <v>30</v>
      </c>
      <c r="E18" s="47">
        <f>SUM(E19:E25)</f>
        <v>80</v>
      </c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</row>
    <row r="19" spans="1:30" s="33" customFormat="1">
      <c r="A19" s="48" t="s">
        <v>92</v>
      </c>
      <c r="B19" s="136" t="s">
        <v>138</v>
      </c>
      <c r="C19" s="40" t="s">
        <v>70</v>
      </c>
      <c r="D19" s="55"/>
      <c r="E19" s="55">
        <v>10</v>
      </c>
      <c r="F19" s="38"/>
      <c r="G19" s="38"/>
      <c r="H19" s="38"/>
      <c r="I19" s="38"/>
      <c r="J19" s="49"/>
      <c r="K19" s="49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</row>
    <row r="20" spans="1:30" s="33" customFormat="1">
      <c r="A20" s="48" t="s">
        <v>200</v>
      </c>
      <c r="B20" s="136" t="s">
        <v>207</v>
      </c>
      <c r="C20" s="40" t="s">
        <v>70</v>
      </c>
      <c r="D20" s="41"/>
      <c r="E20" s="55">
        <v>15</v>
      </c>
      <c r="F20" s="38"/>
      <c r="G20" s="38"/>
      <c r="H20" s="38"/>
      <c r="I20" s="38"/>
      <c r="J20" s="38"/>
      <c r="K20" s="38"/>
      <c r="L20" s="49"/>
      <c r="M20" s="49"/>
      <c r="N20" s="49"/>
      <c r="O20" s="38"/>
      <c r="P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</row>
    <row r="21" spans="1:30" s="33" customFormat="1">
      <c r="A21" s="48" t="s">
        <v>93</v>
      </c>
      <c r="B21" s="136" t="s">
        <v>137</v>
      </c>
      <c r="C21" s="40" t="s">
        <v>199</v>
      </c>
      <c r="D21" s="55"/>
      <c r="E21" s="55">
        <v>5</v>
      </c>
      <c r="F21" s="38"/>
      <c r="G21" s="38"/>
      <c r="H21" s="38"/>
      <c r="I21" s="85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</row>
    <row r="22" spans="1:30" s="33" customFormat="1">
      <c r="A22" s="48" t="s">
        <v>94</v>
      </c>
      <c r="B22" s="136" t="s">
        <v>212</v>
      </c>
      <c r="C22" s="40" t="s">
        <v>199</v>
      </c>
      <c r="D22" s="55"/>
      <c r="E22" s="55">
        <v>25</v>
      </c>
      <c r="F22" s="38"/>
      <c r="G22" s="38"/>
      <c r="H22" s="38"/>
      <c r="J22" s="85"/>
      <c r="K22" s="85"/>
      <c r="L22" s="85"/>
      <c r="M22" s="85"/>
      <c r="N22" s="85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</row>
    <row r="23" spans="1:30" s="33" customFormat="1">
      <c r="A23" s="48" t="s">
        <v>95</v>
      </c>
      <c r="B23" s="136" t="s">
        <v>141</v>
      </c>
      <c r="C23" s="40" t="s">
        <v>135</v>
      </c>
      <c r="D23" s="55"/>
      <c r="E23" s="55">
        <v>5</v>
      </c>
      <c r="F23" s="38"/>
      <c r="G23" s="38"/>
      <c r="H23" s="86"/>
      <c r="I23" s="38"/>
      <c r="J23" s="38"/>
      <c r="K23" s="38"/>
      <c r="L23" s="38"/>
      <c r="M23" s="38"/>
      <c r="N23" s="38"/>
      <c r="O23" s="38"/>
      <c r="P23" s="38"/>
      <c r="Q23" s="38"/>
      <c r="S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</row>
    <row r="24" spans="1:30" s="33" customFormat="1">
      <c r="A24" s="48" t="s">
        <v>96</v>
      </c>
      <c r="B24" s="136" t="s">
        <v>139</v>
      </c>
      <c r="C24" s="40" t="s">
        <v>135</v>
      </c>
      <c r="D24" s="55"/>
      <c r="E24" s="55">
        <v>10</v>
      </c>
      <c r="F24" s="38"/>
      <c r="G24" s="38"/>
      <c r="H24" s="38"/>
      <c r="I24" s="86"/>
      <c r="J24" s="86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</row>
    <row r="25" spans="1:30" s="33" customFormat="1">
      <c r="A25" s="48" t="s">
        <v>97</v>
      </c>
      <c r="B25" s="136" t="s">
        <v>140</v>
      </c>
      <c r="C25" s="40" t="s">
        <v>135</v>
      </c>
      <c r="D25" s="55"/>
      <c r="E25" s="55">
        <v>10</v>
      </c>
      <c r="F25" s="38"/>
      <c r="G25" s="38"/>
      <c r="H25" s="38"/>
      <c r="I25" s="38"/>
      <c r="J25" s="38"/>
      <c r="K25" s="86"/>
      <c r="L25" s="86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</row>
    <row r="26" spans="1:30" s="33" customFormat="1">
      <c r="A26" s="45" t="s">
        <v>88</v>
      </c>
      <c r="B26" s="77" t="s">
        <v>147</v>
      </c>
      <c r="C26" s="50"/>
      <c r="D26" s="47">
        <v>10</v>
      </c>
      <c r="E26" s="47">
        <f>SUM(E27:E29)</f>
        <v>10</v>
      </c>
      <c r="F26" s="38"/>
      <c r="G26" s="38"/>
      <c r="H26" s="38"/>
      <c r="I26" s="38"/>
      <c r="J26" s="38"/>
      <c r="K26" s="38"/>
      <c r="L26" s="38"/>
      <c r="N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</row>
    <row r="27" spans="1:30" s="33" customFormat="1">
      <c r="A27" s="48" t="s">
        <v>89</v>
      </c>
      <c r="B27" s="62" t="s">
        <v>148</v>
      </c>
      <c r="C27" s="40" t="s">
        <v>135</v>
      </c>
      <c r="D27" s="41"/>
      <c r="E27" s="41">
        <v>5</v>
      </c>
      <c r="F27" s="38"/>
      <c r="G27" s="38"/>
      <c r="H27" s="38"/>
      <c r="I27" s="38"/>
      <c r="J27" s="38"/>
      <c r="K27" s="38"/>
      <c r="L27" s="38"/>
      <c r="M27" s="86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</row>
    <row r="28" spans="1:30" s="33" customFormat="1">
      <c r="A28" s="48" t="s">
        <v>128</v>
      </c>
      <c r="B28" s="51" t="s">
        <v>145</v>
      </c>
      <c r="C28" s="40" t="s">
        <v>135</v>
      </c>
      <c r="D28" s="41"/>
      <c r="E28" s="41">
        <v>3</v>
      </c>
      <c r="F28" s="38"/>
      <c r="G28" s="38"/>
      <c r="H28" s="38"/>
      <c r="I28" s="38"/>
      <c r="J28" s="38"/>
      <c r="K28" s="38"/>
      <c r="L28" s="38"/>
      <c r="M28" s="38"/>
      <c r="N28" s="86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</row>
    <row r="29" spans="1:30" s="33" customFormat="1">
      <c r="A29" s="48" t="s">
        <v>90</v>
      </c>
      <c r="B29" s="51" t="s">
        <v>146</v>
      </c>
      <c r="C29" s="40" t="s">
        <v>135</v>
      </c>
      <c r="D29" s="41"/>
      <c r="E29" s="41">
        <v>2</v>
      </c>
      <c r="F29" s="38"/>
      <c r="G29" s="38"/>
      <c r="H29" s="38"/>
      <c r="I29" s="38"/>
      <c r="J29" s="38"/>
      <c r="K29" s="38"/>
      <c r="L29" s="38"/>
      <c r="M29" s="38"/>
      <c r="N29" s="86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</row>
    <row r="30" spans="1:30" s="33" customFormat="1">
      <c r="A30" s="45" t="s">
        <v>122</v>
      </c>
      <c r="B30" s="77" t="s">
        <v>142</v>
      </c>
      <c r="C30" s="50"/>
      <c r="D30" s="47">
        <v>15</v>
      </c>
      <c r="E30" s="47">
        <f>SUM(E31:E34)</f>
        <v>25</v>
      </c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</row>
    <row r="31" spans="1:30" s="33" customFormat="1">
      <c r="A31" s="48" t="s">
        <v>123</v>
      </c>
      <c r="B31" s="137" t="s">
        <v>197</v>
      </c>
      <c r="C31" s="40" t="s">
        <v>199</v>
      </c>
      <c r="E31" s="55">
        <v>5</v>
      </c>
      <c r="F31" s="38"/>
      <c r="G31" s="38"/>
      <c r="I31" s="38"/>
      <c r="J31" s="38"/>
      <c r="K31" s="38"/>
      <c r="L31" s="38"/>
      <c r="M31" s="38"/>
      <c r="N31" s="38"/>
      <c r="O31" s="38"/>
      <c r="P31" s="85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</row>
    <row r="32" spans="1:30" s="33" customFormat="1">
      <c r="A32" s="48" t="s">
        <v>124</v>
      </c>
      <c r="B32" s="137" t="s">
        <v>198</v>
      </c>
      <c r="C32" s="40" t="s">
        <v>199</v>
      </c>
      <c r="D32" s="55"/>
      <c r="E32" s="55">
        <v>5</v>
      </c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85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</row>
    <row r="33" spans="1:30" s="33" customFormat="1">
      <c r="A33" s="48" t="s">
        <v>157</v>
      </c>
      <c r="B33" s="54" t="s">
        <v>143</v>
      </c>
      <c r="C33" s="40" t="s">
        <v>70</v>
      </c>
      <c r="D33" s="55"/>
      <c r="E33" s="55">
        <v>10</v>
      </c>
      <c r="F33" s="38"/>
      <c r="G33" s="38"/>
      <c r="H33" s="38"/>
      <c r="I33" s="38"/>
      <c r="J33" s="38"/>
      <c r="K33" s="38"/>
      <c r="L33" s="38"/>
      <c r="M33" s="38"/>
      <c r="N33" s="38"/>
      <c r="O33" s="49"/>
      <c r="P33" s="49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</row>
    <row r="34" spans="1:30" s="33" customFormat="1">
      <c r="A34" s="48" t="s">
        <v>158</v>
      </c>
      <c r="B34" s="54" t="s">
        <v>144</v>
      </c>
      <c r="C34" s="40" t="s">
        <v>135</v>
      </c>
      <c r="D34" s="55"/>
      <c r="E34" s="55">
        <v>5</v>
      </c>
      <c r="F34" s="38"/>
      <c r="G34" s="38"/>
      <c r="H34" s="38"/>
      <c r="I34" s="38"/>
      <c r="J34" s="38"/>
      <c r="K34" s="38"/>
      <c r="L34" s="38"/>
      <c r="M34" s="38"/>
      <c r="N34" s="38"/>
      <c r="O34" s="86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</row>
    <row r="35" spans="1:30" s="33" customFormat="1">
      <c r="A35" s="48" t="s">
        <v>205</v>
      </c>
      <c r="B35" s="137" t="s">
        <v>206</v>
      </c>
      <c r="C35" s="40" t="s">
        <v>135</v>
      </c>
      <c r="D35" s="55"/>
      <c r="E35" s="55">
        <v>5</v>
      </c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86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</row>
    <row r="36" spans="1:30" s="33" customFormat="1">
      <c r="A36" s="48" t="s">
        <v>208</v>
      </c>
      <c r="B36" s="137" t="s">
        <v>210</v>
      </c>
      <c r="C36" s="40" t="s">
        <v>70</v>
      </c>
      <c r="D36" s="55"/>
      <c r="E36" s="55">
        <v>3</v>
      </c>
      <c r="F36" s="38"/>
      <c r="G36" s="38"/>
      <c r="H36" s="38"/>
      <c r="I36" s="38"/>
      <c r="J36" s="38"/>
      <c r="K36" s="38"/>
      <c r="L36" s="38"/>
      <c r="M36" s="38"/>
      <c r="N36" s="38"/>
      <c r="P36" s="38"/>
      <c r="Q36" s="49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</row>
    <row r="37" spans="1:30" s="33" customFormat="1">
      <c r="A37" s="48" t="s">
        <v>211</v>
      </c>
      <c r="B37" s="54" t="s">
        <v>209</v>
      </c>
      <c r="C37" s="40" t="s">
        <v>70</v>
      </c>
      <c r="D37" s="55"/>
      <c r="E37" s="55">
        <v>5</v>
      </c>
      <c r="F37" s="38"/>
      <c r="G37" s="38"/>
      <c r="H37" s="38"/>
      <c r="I37" s="49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</row>
    <row r="38" spans="1:30" s="33" customFormat="1">
      <c r="A38" s="45" t="s">
        <v>129</v>
      </c>
      <c r="B38" s="77" t="s">
        <v>191</v>
      </c>
      <c r="C38" s="50"/>
      <c r="D38" s="47">
        <v>15</v>
      </c>
      <c r="E38" s="47">
        <f>SUM(E39:E41)</f>
        <v>15</v>
      </c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</row>
    <row r="39" spans="1:30" s="33" customFormat="1">
      <c r="A39" s="48" t="s">
        <v>131</v>
      </c>
      <c r="B39" s="54" t="s">
        <v>192</v>
      </c>
      <c r="C39" s="40" t="s">
        <v>133</v>
      </c>
      <c r="D39" s="55"/>
      <c r="E39" s="55">
        <v>5</v>
      </c>
      <c r="F39" s="38"/>
      <c r="G39" s="38"/>
      <c r="H39" s="49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</row>
    <row r="40" spans="1:30" s="33" customFormat="1">
      <c r="A40" s="48" t="s">
        <v>194</v>
      </c>
      <c r="B40" s="137" t="s">
        <v>196</v>
      </c>
      <c r="C40" s="40" t="s">
        <v>135</v>
      </c>
      <c r="D40" s="55"/>
      <c r="E40" s="55">
        <v>5</v>
      </c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86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</row>
    <row r="41" spans="1:30" s="33" customFormat="1">
      <c r="A41" s="48" t="s">
        <v>195</v>
      </c>
      <c r="B41" s="54" t="s">
        <v>193</v>
      </c>
      <c r="C41" s="40" t="s">
        <v>199</v>
      </c>
      <c r="D41" s="55"/>
      <c r="E41" s="55">
        <v>5</v>
      </c>
      <c r="F41" s="38"/>
      <c r="G41" s="38"/>
      <c r="H41" s="38"/>
      <c r="I41" s="38"/>
      <c r="J41" s="38"/>
      <c r="K41" s="38"/>
      <c r="L41" s="38"/>
      <c r="M41" s="38"/>
      <c r="N41" s="38"/>
      <c r="O41" s="85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</row>
    <row r="42" spans="1:30" s="33" customFormat="1">
      <c r="A42" s="45" t="s">
        <v>189</v>
      </c>
      <c r="B42" s="77" t="s">
        <v>130</v>
      </c>
      <c r="C42" s="50"/>
      <c r="D42" s="47">
        <v>20</v>
      </c>
      <c r="E42" s="47">
        <f>SUM(E43)</f>
        <v>20</v>
      </c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</row>
    <row r="43" spans="1:30" s="33" customFormat="1">
      <c r="A43" s="48" t="s">
        <v>190</v>
      </c>
      <c r="B43" s="54" t="s">
        <v>159</v>
      </c>
      <c r="C43" s="40" t="s">
        <v>71</v>
      </c>
      <c r="D43" s="55"/>
      <c r="E43" s="55">
        <v>20</v>
      </c>
      <c r="F43" s="38"/>
      <c r="G43" s="38"/>
      <c r="H43" s="38"/>
      <c r="I43" s="38"/>
      <c r="J43" s="38"/>
      <c r="K43" s="38"/>
      <c r="L43" s="49"/>
      <c r="M43" s="49"/>
      <c r="N43" s="49"/>
      <c r="O43" s="49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</row>
    <row r="44" spans="1:30" s="33" customFormat="1">
      <c r="A44" s="90" t="s">
        <v>203</v>
      </c>
      <c r="B44" s="90"/>
      <c r="C44" s="90"/>
      <c r="D44" s="32">
        <f>D45+D50</f>
        <v>40</v>
      </c>
      <c r="E44" s="32">
        <f>E45+E50</f>
        <v>80</v>
      </c>
      <c r="F44" s="91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3"/>
    </row>
    <row r="45" spans="1:30" s="33" customFormat="1">
      <c r="A45" s="34" t="s">
        <v>98</v>
      </c>
      <c r="B45" s="35" t="s">
        <v>99</v>
      </c>
      <c r="C45" s="36"/>
      <c r="D45" s="37">
        <v>30</v>
      </c>
      <c r="E45" s="37">
        <f>SUM(E46:E49)</f>
        <v>70</v>
      </c>
      <c r="F45" s="38"/>
      <c r="G45" s="38"/>
      <c r="H45" s="38"/>
      <c r="I45" s="38"/>
      <c r="J45" s="38"/>
      <c r="K45" s="43"/>
      <c r="L45" s="38"/>
      <c r="M45" s="38"/>
      <c r="N45" s="38"/>
      <c r="O45" s="43"/>
      <c r="P45" s="36"/>
      <c r="Q45" s="36"/>
      <c r="R45" s="36"/>
      <c r="S45" s="36"/>
      <c r="T45" s="36"/>
      <c r="U45" s="36"/>
      <c r="V45" s="38"/>
      <c r="W45" s="38"/>
      <c r="X45" s="38"/>
      <c r="Y45" s="38"/>
      <c r="Z45" s="38"/>
      <c r="AA45" s="38"/>
      <c r="AB45" s="38"/>
      <c r="AC45" s="38"/>
      <c r="AD45" s="38"/>
    </row>
    <row r="46" spans="1:30" s="33" customFormat="1">
      <c r="A46" s="39" t="s">
        <v>100</v>
      </c>
      <c r="B46" s="51" t="s">
        <v>101</v>
      </c>
      <c r="C46" s="40" t="s">
        <v>102</v>
      </c>
      <c r="D46" s="41"/>
      <c r="E46" s="41">
        <v>15</v>
      </c>
      <c r="F46" s="38"/>
      <c r="G46" s="38"/>
      <c r="H46" s="38"/>
      <c r="I46" s="38"/>
      <c r="J46" s="38"/>
      <c r="K46" s="43"/>
      <c r="L46" s="38"/>
      <c r="M46" s="38"/>
      <c r="N46" s="38"/>
      <c r="O46" s="43"/>
      <c r="P46" s="49"/>
      <c r="Q46" s="82"/>
      <c r="R46" s="49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</row>
    <row r="47" spans="1:30" s="33" customFormat="1">
      <c r="A47" s="39" t="s">
        <v>103</v>
      </c>
      <c r="B47" s="29" t="s">
        <v>104</v>
      </c>
      <c r="C47" s="40" t="s">
        <v>105</v>
      </c>
      <c r="D47" s="41"/>
      <c r="E47" s="41">
        <v>15</v>
      </c>
      <c r="F47" s="38"/>
      <c r="G47" s="38"/>
      <c r="H47" s="38"/>
      <c r="I47" s="38"/>
      <c r="J47" s="38"/>
      <c r="K47" s="43"/>
      <c r="L47" s="38"/>
      <c r="M47" s="38"/>
      <c r="N47" s="38"/>
      <c r="O47" s="43"/>
      <c r="P47" s="49"/>
      <c r="Q47" s="82"/>
      <c r="R47" s="49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</row>
    <row r="48" spans="1:30" s="33" customFormat="1">
      <c r="A48" s="39" t="s">
        <v>73</v>
      </c>
      <c r="B48" s="29" t="s">
        <v>106</v>
      </c>
      <c r="C48" s="40" t="s">
        <v>107</v>
      </c>
      <c r="D48" s="41"/>
      <c r="E48" s="41">
        <v>20</v>
      </c>
      <c r="F48" s="38"/>
      <c r="G48" s="38"/>
      <c r="H48" s="38"/>
      <c r="I48" s="38"/>
      <c r="J48" s="38"/>
      <c r="K48" s="43"/>
      <c r="L48" s="38"/>
      <c r="M48" s="38"/>
      <c r="N48" s="38"/>
      <c r="O48" s="43"/>
      <c r="P48" s="43"/>
      <c r="Q48" s="38"/>
      <c r="R48" s="49"/>
      <c r="S48" s="49"/>
      <c r="T48" s="49"/>
      <c r="U48" s="49"/>
      <c r="V48" s="38"/>
      <c r="W48" s="38"/>
      <c r="X48" s="38"/>
      <c r="Y48" s="38"/>
      <c r="Z48" s="38"/>
      <c r="AA48" s="38"/>
      <c r="AB48" s="38"/>
      <c r="AC48" s="38"/>
      <c r="AD48" s="38"/>
    </row>
    <row r="49" spans="1:30" s="33" customFormat="1">
      <c r="A49" s="39" t="s">
        <v>74</v>
      </c>
      <c r="B49" s="29" t="s">
        <v>104</v>
      </c>
      <c r="C49" s="40" t="s">
        <v>105</v>
      </c>
      <c r="D49" s="41"/>
      <c r="E49" s="41">
        <v>20</v>
      </c>
      <c r="F49" s="38"/>
      <c r="G49" s="38"/>
      <c r="H49" s="38"/>
      <c r="I49" s="38"/>
      <c r="J49" s="38"/>
      <c r="K49" s="43"/>
      <c r="L49" s="38"/>
      <c r="M49" s="38"/>
      <c r="N49" s="38"/>
      <c r="O49" s="43"/>
      <c r="P49" s="43"/>
      <c r="Q49" s="56"/>
      <c r="R49" s="49"/>
      <c r="S49" s="49"/>
      <c r="T49" s="49"/>
      <c r="U49" s="49"/>
      <c r="V49" s="38"/>
      <c r="W49" s="38"/>
      <c r="X49" s="38"/>
      <c r="Y49" s="38"/>
      <c r="Z49" s="38"/>
      <c r="AA49" s="38"/>
      <c r="AB49" s="38"/>
      <c r="AC49" s="38"/>
      <c r="AD49" s="38"/>
    </row>
    <row r="50" spans="1:30" s="33" customFormat="1">
      <c r="A50" s="34" t="s">
        <v>75</v>
      </c>
      <c r="B50" s="35" t="s">
        <v>108</v>
      </c>
      <c r="C50" s="36"/>
      <c r="D50" s="37">
        <v>10</v>
      </c>
      <c r="E50" s="37">
        <v>10</v>
      </c>
      <c r="F50" s="38"/>
      <c r="G50" s="38"/>
      <c r="H50" s="38"/>
      <c r="I50" s="38"/>
      <c r="J50" s="38"/>
      <c r="K50" s="43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6"/>
      <c r="W50" s="36"/>
      <c r="X50" s="38"/>
      <c r="Y50" s="38"/>
      <c r="Z50" s="38"/>
      <c r="AA50" s="38"/>
      <c r="AB50" s="38"/>
      <c r="AC50" s="38"/>
      <c r="AD50" s="38"/>
    </row>
    <row r="51" spans="1:30" s="33" customFormat="1">
      <c r="A51" s="39" t="s">
        <v>109</v>
      </c>
      <c r="B51" s="29" t="s">
        <v>110</v>
      </c>
      <c r="C51" s="40" t="s">
        <v>111</v>
      </c>
      <c r="D51" s="41"/>
      <c r="E51" s="41">
        <v>5</v>
      </c>
      <c r="F51" s="38"/>
      <c r="G51" s="38"/>
      <c r="H51" s="38"/>
      <c r="I51" s="38"/>
      <c r="J51" s="38"/>
      <c r="K51" s="43"/>
      <c r="L51" s="38"/>
      <c r="M51" s="38"/>
      <c r="N51" s="38"/>
      <c r="O51" s="43"/>
      <c r="P51" s="43"/>
      <c r="Q51" s="38"/>
      <c r="R51" s="38"/>
      <c r="S51" s="38"/>
      <c r="T51" s="38"/>
      <c r="U51" s="38"/>
      <c r="V51" s="49"/>
      <c r="W51" s="38"/>
      <c r="X51" s="38"/>
      <c r="Y51" s="38"/>
      <c r="Z51" s="38"/>
      <c r="AA51" s="38"/>
      <c r="AB51" s="38"/>
      <c r="AC51" s="38"/>
      <c r="AD51" s="38"/>
    </row>
    <row r="52" spans="1:30" s="33" customFormat="1">
      <c r="A52" s="39" t="s">
        <v>76</v>
      </c>
      <c r="B52" s="29" t="s">
        <v>112</v>
      </c>
      <c r="C52" s="40" t="s">
        <v>111</v>
      </c>
      <c r="D52" s="41"/>
      <c r="E52" s="41">
        <v>4</v>
      </c>
      <c r="F52" s="38"/>
      <c r="G52" s="38"/>
      <c r="H52" s="38"/>
      <c r="I52" s="38"/>
      <c r="J52" s="38"/>
      <c r="K52" s="43"/>
      <c r="L52" s="38"/>
      <c r="M52" s="38"/>
      <c r="N52" s="38"/>
      <c r="O52" s="43"/>
      <c r="P52" s="43"/>
      <c r="Q52" s="38"/>
      <c r="R52" s="38"/>
      <c r="S52" s="38"/>
      <c r="T52" s="38"/>
      <c r="U52" s="38"/>
      <c r="V52" s="38"/>
      <c r="W52" s="49"/>
      <c r="X52" s="38"/>
      <c r="Y52" s="38"/>
      <c r="Z52" s="38"/>
      <c r="AA52" s="38"/>
      <c r="AB52" s="38"/>
      <c r="AC52" s="38"/>
      <c r="AD52" s="38"/>
    </row>
    <row r="53" spans="1:30" s="33" customFormat="1">
      <c r="A53" s="39" t="s">
        <v>77</v>
      </c>
      <c r="B53" s="29" t="s">
        <v>113</v>
      </c>
      <c r="C53" s="40" t="s">
        <v>111</v>
      </c>
      <c r="D53" s="41"/>
      <c r="E53" s="41">
        <v>1</v>
      </c>
      <c r="F53" s="38"/>
      <c r="G53" s="38"/>
      <c r="H53" s="38"/>
      <c r="I53" s="38"/>
      <c r="J53" s="38"/>
      <c r="K53" s="43"/>
      <c r="L53" s="38"/>
      <c r="M53" s="38"/>
      <c r="N53" s="38"/>
      <c r="O53" s="43"/>
      <c r="P53" s="43"/>
      <c r="Q53" s="43"/>
      <c r="R53" s="38"/>
      <c r="S53" s="38"/>
      <c r="T53" s="38"/>
      <c r="U53" s="38"/>
      <c r="V53" s="38"/>
      <c r="W53" s="49"/>
      <c r="X53" s="38"/>
      <c r="Y53" s="38"/>
      <c r="Z53" s="38"/>
      <c r="AA53" s="38"/>
      <c r="AB53" s="38"/>
      <c r="AC53" s="38"/>
      <c r="AD53" s="38"/>
    </row>
    <row r="55" spans="1:30">
      <c r="A55" s="57" t="s">
        <v>114</v>
      </c>
    </row>
    <row r="56" spans="1:30">
      <c r="A56" s="49"/>
      <c r="B56" s="59" t="s">
        <v>115</v>
      </c>
    </row>
    <row r="57" spans="1:30">
      <c r="A57" s="60"/>
      <c r="B57" s="59" t="s">
        <v>116</v>
      </c>
    </row>
    <row r="58" spans="1:30">
      <c r="A58" s="42"/>
      <c r="B58" s="59" t="s">
        <v>117</v>
      </c>
    </row>
    <row r="59" spans="1:30">
      <c r="A59" s="61"/>
      <c r="B59" s="59" t="s">
        <v>118</v>
      </c>
    </row>
  </sheetData>
  <mergeCells count="15">
    <mergeCell ref="A44:C44"/>
    <mergeCell ref="F44:AD44"/>
    <mergeCell ref="A3:C3"/>
    <mergeCell ref="F3:AD3"/>
    <mergeCell ref="A1:A2"/>
    <mergeCell ref="B1:B2"/>
    <mergeCell ref="C1:C2"/>
    <mergeCell ref="D1:D2"/>
    <mergeCell ref="E1:E2"/>
    <mergeCell ref="F1:I1"/>
    <mergeCell ref="J1:M1"/>
    <mergeCell ref="N1:Q1"/>
    <mergeCell ref="R1:V1"/>
    <mergeCell ref="W1:Z1"/>
    <mergeCell ref="AA1:AD1"/>
  </mergeCells>
  <phoneticPr fontId="26" type="noConversion"/>
  <hyperlinks>
    <hyperlink ref="B12" location="基本資料!A1" display="基本資料"/>
    <hyperlink ref="B26" location="作業管理!A1" display="作業管理"/>
    <hyperlink ref="B30" location="系統管理!A1" display="權限管理"/>
    <hyperlink ref="B38" location="其他!A1" display="其他"/>
    <hyperlink ref="B42" location="其他!A1" display="其他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7"/>
  <sheetViews>
    <sheetView tabSelected="1" workbookViewId="0">
      <selection activeCell="D31" sqref="D31"/>
    </sheetView>
  </sheetViews>
  <sheetFormatPr defaultRowHeight="16.5" outlineLevelRow="1"/>
  <cols>
    <col min="1" max="1" width="5.5" style="2" customWidth="1"/>
    <col min="2" max="2" width="22.875" style="2" customWidth="1"/>
    <col min="3" max="3" width="46.125" customWidth="1"/>
    <col min="4" max="4" width="34.625" customWidth="1"/>
    <col min="5" max="5" width="29.875" style="27" customWidth="1"/>
    <col min="6" max="6" width="31.875" customWidth="1"/>
  </cols>
  <sheetData>
    <row r="1" spans="1:6">
      <c r="A1" s="103" t="s">
        <v>204</v>
      </c>
      <c r="B1" s="104"/>
      <c r="C1" s="104"/>
      <c r="D1" s="104"/>
      <c r="E1" s="104"/>
      <c r="F1" s="104"/>
    </row>
    <row r="2" spans="1:6">
      <c r="A2" s="104"/>
      <c r="B2" s="104"/>
      <c r="C2" s="104"/>
      <c r="D2" s="104"/>
      <c r="E2" s="104"/>
      <c r="F2" s="104"/>
    </row>
    <row r="3" spans="1:6">
      <c r="A3" s="105" t="s">
        <v>54</v>
      </c>
      <c r="B3" s="106"/>
      <c r="C3" s="106"/>
      <c r="D3" s="106"/>
      <c r="E3" s="106"/>
      <c r="F3" s="107"/>
    </row>
    <row r="4" spans="1:6">
      <c r="A4" s="24" t="s">
        <v>6</v>
      </c>
      <c r="B4" s="24" t="s">
        <v>11</v>
      </c>
      <c r="C4" s="3" t="s">
        <v>4</v>
      </c>
      <c r="D4" s="3" t="s">
        <v>48</v>
      </c>
      <c r="E4" s="3" t="s">
        <v>49</v>
      </c>
      <c r="F4" s="6" t="s">
        <v>2</v>
      </c>
    </row>
    <row r="5" spans="1:6">
      <c r="A5" s="24">
        <v>1</v>
      </c>
      <c r="B5" s="25" t="s">
        <v>221</v>
      </c>
      <c r="C5" s="109"/>
      <c r="D5" s="109"/>
      <c r="E5" s="109"/>
      <c r="F5" s="109"/>
    </row>
    <row r="6" spans="1:6" outlineLevel="1">
      <c r="A6" s="24"/>
      <c r="B6" s="28">
        <v>1.1000000000000001</v>
      </c>
      <c r="C6" s="87" t="s">
        <v>232</v>
      </c>
      <c r="D6" s="23"/>
      <c r="E6" s="23"/>
      <c r="F6" s="6"/>
    </row>
    <row r="7" spans="1:6" outlineLevel="1">
      <c r="A7" s="24"/>
      <c r="B7" s="28">
        <v>1.2</v>
      </c>
      <c r="C7" s="87" t="s">
        <v>53</v>
      </c>
      <c r="D7" s="23"/>
      <c r="E7" s="23"/>
      <c r="F7" s="6"/>
    </row>
    <row r="8" spans="1:6">
      <c r="A8" s="24">
        <v>2</v>
      </c>
      <c r="B8" s="26" t="s">
        <v>56</v>
      </c>
      <c r="C8" s="110"/>
      <c r="D8" s="110"/>
      <c r="E8" s="110"/>
      <c r="F8" s="110"/>
    </row>
    <row r="9" spans="1:6" outlineLevel="1">
      <c r="A9" s="24"/>
      <c r="B9" s="26">
        <v>2.1</v>
      </c>
      <c r="C9" s="18" t="s">
        <v>213</v>
      </c>
      <c r="D9" s="18"/>
      <c r="E9" s="18"/>
      <c r="F9" s="18"/>
    </row>
    <row r="10" spans="1:6" outlineLevel="1">
      <c r="A10" s="24"/>
      <c r="B10" s="26">
        <v>2.2000000000000002</v>
      </c>
      <c r="C10" s="18" t="s">
        <v>214</v>
      </c>
      <c r="D10" s="18"/>
      <c r="E10" s="18"/>
      <c r="F10" s="88"/>
    </row>
    <row r="11" spans="1:6">
      <c r="A11" s="24">
        <v>3</v>
      </c>
      <c r="B11" s="64" t="s">
        <v>215</v>
      </c>
      <c r="C11" s="108"/>
      <c r="D11" s="108"/>
      <c r="E11" s="108"/>
      <c r="F11" s="108"/>
    </row>
    <row r="12" spans="1:6" outlineLevel="1">
      <c r="A12" s="24"/>
      <c r="B12" s="64">
        <v>3.1</v>
      </c>
      <c r="C12" s="18" t="s">
        <v>222</v>
      </c>
      <c r="D12" s="18"/>
      <c r="E12" s="18"/>
      <c r="F12" s="88"/>
    </row>
    <row r="13" spans="1:6" outlineLevel="1">
      <c r="A13" s="24"/>
      <c r="B13" s="64">
        <v>3.2</v>
      </c>
      <c r="C13" s="18" t="s">
        <v>225</v>
      </c>
      <c r="D13" s="18"/>
      <c r="E13" s="18"/>
      <c r="F13" s="88"/>
    </row>
    <row r="14" spans="1:6" outlineLevel="1">
      <c r="A14" s="24"/>
      <c r="B14" s="64">
        <v>3.3</v>
      </c>
      <c r="C14" s="18" t="s">
        <v>227</v>
      </c>
      <c r="D14" s="18"/>
      <c r="E14" s="18"/>
      <c r="F14" s="88"/>
    </row>
    <row r="15" spans="1:6" outlineLevel="1">
      <c r="A15" s="24"/>
      <c r="B15" s="64">
        <v>3.4</v>
      </c>
      <c r="C15" s="18" t="s">
        <v>228</v>
      </c>
      <c r="D15" s="18"/>
      <c r="E15" s="18"/>
      <c r="F15" s="88"/>
    </row>
    <row r="16" spans="1:6">
      <c r="A16" s="24">
        <v>4</v>
      </c>
      <c r="B16" s="64" t="s">
        <v>216</v>
      </c>
      <c r="C16" s="108"/>
      <c r="D16" s="108"/>
      <c r="E16" s="108"/>
      <c r="F16" s="108"/>
    </row>
    <row r="17" spans="1:6" outlineLevel="1">
      <c r="A17" s="24"/>
      <c r="B17" s="64">
        <v>4.0999999999999996</v>
      </c>
      <c r="C17" t="s">
        <v>220</v>
      </c>
      <c r="D17" s="18"/>
      <c r="E17" s="18"/>
      <c r="F17" s="88"/>
    </row>
    <row r="18" spans="1:6" outlineLevel="1">
      <c r="A18" s="24"/>
      <c r="B18" s="64">
        <v>4.2</v>
      </c>
      <c r="C18" s="18" t="s">
        <v>223</v>
      </c>
      <c r="D18" s="18"/>
      <c r="E18" s="18"/>
      <c r="F18" s="88"/>
    </row>
    <row r="19" spans="1:6" outlineLevel="1">
      <c r="A19" s="24"/>
      <c r="B19" s="64">
        <v>4.3</v>
      </c>
      <c r="C19" s="18" t="s">
        <v>224</v>
      </c>
      <c r="D19" s="18"/>
      <c r="E19" s="18"/>
      <c r="F19" s="88"/>
    </row>
    <row r="20" spans="1:6" outlineLevel="1">
      <c r="A20" s="24"/>
      <c r="B20" s="64">
        <v>4.4000000000000004</v>
      </c>
      <c r="C20" s="18" t="s">
        <v>226</v>
      </c>
      <c r="D20" s="18"/>
      <c r="E20" s="18"/>
      <c r="F20" s="88"/>
    </row>
    <row r="21" spans="1:6" outlineLevel="1">
      <c r="A21" s="24"/>
      <c r="B21" s="64">
        <v>4.5</v>
      </c>
      <c r="C21" s="18" t="s">
        <v>217</v>
      </c>
      <c r="D21" s="18"/>
      <c r="E21" s="18"/>
      <c r="F21" s="88"/>
    </row>
    <row r="22" spans="1:6" outlineLevel="1">
      <c r="A22" s="24"/>
      <c r="B22" s="64">
        <v>4.5999999999999996</v>
      </c>
      <c r="C22" s="18" t="s">
        <v>218</v>
      </c>
      <c r="D22" s="18"/>
      <c r="E22" s="18"/>
      <c r="F22" s="88"/>
    </row>
    <row r="23" spans="1:6" outlineLevel="1">
      <c r="A23" s="24"/>
      <c r="B23" s="64">
        <v>4.7</v>
      </c>
      <c r="C23" s="18" t="s">
        <v>219</v>
      </c>
      <c r="D23" s="18"/>
      <c r="E23" s="18"/>
      <c r="F23" s="88"/>
    </row>
    <row r="24" spans="1:6">
      <c r="A24" s="24">
        <v>5</v>
      </c>
      <c r="B24" s="64" t="s">
        <v>229</v>
      </c>
      <c r="C24" s="108"/>
      <c r="D24" s="108"/>
      <c r="E24" s="108"/>
      <c r="F24" s="108"/>
    </row>
    <row r="25" spans="1:6" outlineLevel="1">
      <c r="A25" s="24"/>
      <c r="B25" s="64">
        <v>5.0999999999999996</v>
      </c>
      <c r="C25" s="18" t="s">
        <v>230</v>
      </c>
      <c r="D25" s="87"/>
      <c r="E25" s="87"/>
      <c r="F25" s="89"/>
    </row>
    <row r="26" spans="1:6" hidden="1" outlineLevel="1">
      <c r="A26" s="63"/>
      <c r="B26" s="64">
        <v>5.2</v>
      </c>
      <c r="C26" s="18" t="s">
        <v>37</v>
      </c>
      <c r="D26" s="87"/>
      <c r="E26" s="87"/>
      <c r="F26" s="89"/>
    </row>
    <row r="27" spans="1:6" outlineLevel="1">
      <c r="A27" s="24"/>
      <c r="B27" s="64">
        <v>5.3</v>
      </c>
      <c r="C27" s="18" t="s">
        <v>231</v>
      </c>
      <c r="D27" s="18"/>
      <c r="E27" s="87"/>
      <c r="F27" s="89"/>
    </row>
  </sheetData>
  <mergeCells count="7">
    <mergeCell ref="A1:F2"/>
    <mergeCell ref="A3:F3"/>
    <mergeCell ref="C5:F5"/>
    <mergeCell ref="C8:F8"/>
    <mergeCell ref="C11:F11"/>
    <mergeCell ref="C16:F16"/>
    <mergeCell ref="C24:F24"/>
  </mergeCells>
  <phoneticPr fontId="2" type="noConversion"/>
  <hyperlinks>
    <hyperlink ref="B5" location="任務列表!A1" display="任務列表"/>
    <hyperlink ref="B8" location="基本資料!A1" display="基本資料"/>
    <hyperlink ref="B11" location="作業管理!A1" display="作業管理"/>
    <hyperlink ref="B16" location="統計報表!A1" display="統計報表"/>
    <hyperlink ref="B24" location="系統管理!A1" display="系統管理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K34"/>
  <sheetViews>
    <sheetView workbookViewId="0">
      <selection activeCell="D22" sqref="D22"/>
    </sheetView>
  </sheetViews>
  <sheetFormatPr defaultRowHeight="16.5"/>
  <cols>
    <col min="1" max="1" width="6.625" style="2" customWidth="1"/>
    <col min="2" max="2" width="11.75" style="2" customWidth="1"/>
    <col min="3" max="3" width="12.875" customWidth="1"/>
    <col min="4" max="4" width="60.625" customWidth="1"/>
    <col min="5" max="5" width="28.125" customWidth="1"/>
    <col min="6" max="6" width="27.375" customWidth="1"/>
    <col min="7" max="7" width="28.875" customWidth="1"/>
  </cols>
  <sheetData>
    <row r="1" spans="1:9">
      <c r="A1" s="111" t="s">
        <v>33</v>
      </c>
      <c r="B1" s="112"/>
      <c r="C1" s="112"/>
      <c r="D1" s="112"/>
      <c r="E1" s="112"/>
      <c r="F1" s="112"/>
      <c r="G1" s="112"/>
      <c r="H1" s="112"/>
      <c r="I1" s="113"/>
    </row>
    <row r="2" spans="1:9">
      <c r="A2" s="114"/>
      <c r="B2" s="115"/>
      <c r="C2" s="115"/>
      <c r="D2" s="115"/>
      <c r="E2" s="115"/>
      <c r="F2" s="115"/>
      <c r="G2" s="115"/>
      <c r="H2" s="115"/>
      <c r="I2" s="116"/>
    </row>
    <row r="3" spans="1:9">
      <c r="A3" s="16" t="s">
        <v>8</v>
      </c>
      <c r="B3" s="6" t="s">
        <v>4</v>
      </c>
      <c r="C3" s="6" t="s">
        <v>41</v>
      </c>
      <c r="D3" s="6" t="s">
        <v>10</v>
      </c>
      <c r="E3" s="6" t="s">
        <v>9</v>
      </c>
      <c r="F3" s="6" t="s">
        <v>12</v>
      </c>
      <c r="G3" s="6" t="s">
        <v>13</v>
      </c>
      <c r="H3" s="6" t="s">
        <v>14</v>
      </c>
      <c r="I3" s="6"/>
    </row>
    <row r="4" spans="1:9">
      <c r="A4" s="117">
        <v>1</v>
      </c>
      <c r="B4" s="117" t="s">
        <v>35</v>
      </c>
      <c r="C4" s="12"/>
      <c r="D4" s="1"/>
      <c r="E4" s="12"/>
      <c r="F4" s="1"/>
      <c r="G4" s="12"/>
      <c r="H4" s="12"/>
      <c r="I4" s="12"/>
    </row>
    <row r="5" spans="1:9">
      <c r="A5" s="117"/>
      <c r="B5" s="117"/>
      <c r="C5" s="12"/>
      <c r="D5" s="13"/>
      <c r="E5" s="12"/>
      <c r="F5" s="1"/>
      <c r="G5" s="12"/>
      <c r="H5" s="12"/>
      <c r="I5" s="12"/>
    </row>
    <row r="6" spans="1:9">
      <c r="A6" s="117"/>
      <c r="B6" s="117"/>
      <c r="C6" s="12"/>
      <c r="D6" s="18"/>
      <c r="E6" s="12"/>
      <c r="F6" s="12"/>
      <c r="G6" s="12"/>
      <c r="H6" s="12"/>
      <c r="I6" s="12"/>
    </row>
    <row r="7" spans="1:9">
      <c r="A7" s="117">
        <v>2</v>
      </c>
      <c r="B7" s="117" t="s">
        <v>34</v>
      </c>
      <c r="C7" s="12"/>
      <c r="D7" s="1"/>
      <c r="E7" s="1"/>
      <c r="F7" s="1"/>
      <c r="G7" s="12"/>
      <c r="H7" s="12"/>
      <c r="I7" s="12"/>
    </row>
    <row r="8" spans="1:9">
      <c r="A8" s="117"/>
      <c r="B8" s="117"/>
      <c r="C8" s="19"/>
      <c r="D8" s="14"/>
      <c r="E8" s="1"/>
      <c r="F8" s="1"/>
      <c r="G8" s="12"/>
      <c r="H8" s="12"/>
      <c r="I8" s="12"/>
    </row>
    <row r="9" spans="1:9">
      <c r="A9" s="117"/>
      <c r="B9" s="117"/>
      <c r="C9" s="20"/>
      <c r="D9" s="15"/>
      <c r="E9" s="12"/>
      <c r="F9" s="1"/>
      <c r="G9" s="12"/>
      <c r="H9" s="12"/>
      <c r="I9" s="12"/>
    </row>
    <row r="34" spans="11:11">
      <c r="K34" t="s">
        <v>15</v>
      </c>
    </row>
  </sheetData>
  <mergeCells count="5">
    <mergeCell ref="A1:I2"/>
    <mergeCell ref="B4:B6"/>
    <mergeCell ref="A4:A6"/>
    <mergeCell ref="A7:A9"/>
    <mergeCell ref="B7:B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H16"/>
  <sheetViews>
    <sheetView workbookViewId="0">
      <selection activeCell="D29" sqref="D29"/>
    </sheetView>
  </sheetViews>
  <sheetFormatPr defaultRowHeight="16.5"/>
  <cols>
    <col min="1" max="1" width="6.625" style="2" customWidth="1"/>
    <col min="2" max="2" width="19.25" customWidth="1"/>
    <col min="3" max="3" width="9.75" customWidth="1"/>
    <col min="4" max="4" width="60.625" customWidth="1"/>
    <col min="5" max="5" width="38.5" customWidth="1"/>
    <col min="6" max="6" width="28.875" customWidth="1"/>
  </cols>
  <sheetData>
    <row r="1" spans="1:8">
      <c r="A1" s="111" t="s">
        <v>55</v>
      </c>
      <c r="B1" s="112"/>
      <c r="C1" s="112"/>
      <c r="D1" s="112"/>
      <c r="E1" s="112"/>
      <c r="F1" s="112"/>
      <c r="G1" s="112"/>
      <c r="H1" s="113"/>
    </row>
    <row r="2" spans="1:8">
      <c r="A2" s="114"/>
      <c r="B2" s="115"/>
      <c r="C2" s="115"/>
      <c r="D2" s="115"/>
      <c r="E2" s="115"/>
      <c r="F2" s="115"/>
      <c r="G2" s="115"/>
      <c r="H2" s="116"/>
    </row>
    <row r="3" spans="1:8">
      <c r="A3" s="21" t="s">
        <v>6</v>
      </c>
      <c r="B3" s="6" t="s">
        <v>40</v>
      </c>
      <c r="C3" s="6" t="s">
        <v>17</v>
      </c>
      <c r="D3" s="6" t="s">
        <v>26</v>
      </c>
      <c r="E3" s="6" t="s">
        <v>12</v>
      </c>
      <c r="F3" s="6" t="s">
        <v>2</v>
      </c>
      <c r="G3" s="6" t="s">
        <v>3</v>
      </c>
      <c r="H3" s="6"/>
    </row>
    <row r="4" spans="1:8">
      <c r="A4" s="118">
        <v>1</v>
      </c>
      <c r="B4" s="120"/>
      <c r="C4" s="21" t="s">
        <v>18</v>
      </c>
      <c r="D4" s="14"/>
      <c r="E4" s="1"/>
      <c r="F4" s="12"/>
      <c r="G4" s="12"/>
      <c r="H4" s="12"/>
    </row>
    <row r="5" spans="1:8">
      <c r="A5" s="118"/>
      <c r="B5" s="120"/>
      <c r="C5" s="21" t="s">
        <v>19</v>
      </c>
      <c r="D5" s="6"/>
      <c r="E5" s="1"/>
      <c r="F5" s="12"/>
      <c r="G5" s="12"/>
      <c r="H5" s="12"/>
    </row>
    <row r="6" spans="1:8">
      <c r="A6" s="118"/>
      <c r="B6" s="120"/>
      <c r="C6" s="21" t="s">
        <v>20</v>
      </c>
      <c r="D6" s="6"/>
      <c r="E6" s="1"/>
      <c r="F6" s="12"/>
      <c r="G6" s="12"/>
      <c r="H6" s="12"/>
    </row>
    <row r="7" spans="1:8">
      <c r="A7" s="119"/>
      <c r="B7" s="120"/>
      <c r="C7" s="22" t="s">
        <v>21</v>
      </c>
      <c r="D7" s="3"/>
      <c r="E7" s="1"/>
      <c r="F7" s="12"/>
      <c r="G7" s="12"/>
      <c r="H7" s="12"/>
    </row>
    <row r="8" spans="1:8" ht="0.75" hidden="1" customHeight="1">
      <c r="A8" s="121">
        <v>2</v>
      </c>
      <c r="B8" s="121" t="s">
        <v>5</v>
      </c>
      <c r="C8" s="67" t="s">
        <v>18</v>
      </c>
      <c r="D8" s="68" t="s">
        <v>125</v>
      </c>
      <c r="E8" s="69"/>
      <c r="F8" s="70"/>
      <c r="G8" s="70"/>
      <c r="H8" s="70"/>
    </row>
    <row r="9" spans="1:8" ht="99" hidden="1">
      <c r="A9" s="122"/>
      <c r="B9" s="122"/>
      <c r="C9" s="71" t="s">
        <v>30</v>
      </c>
      <c r="D9" s="72" t="s">
        <v>126</v>
      </c>
      <c r="E9" s="69"/>
      <c r="F9" s="70"/>
      <c r="G9" s="70"/>
      <c r="H9" s="70"/>
    </row>
    <row r="10" spans="1:8" hidden="1">
      <c r="A10" s="122"/>
      <c r="B10" s="122"/>
      <c r="C10" s="73" t="s">
        <v>31</v>
      </c>
      <c r="D10" s="68" t="s">
        <v>127</v>
      </c>
      <c r="E10" s="69"/>
      <c r="F10" s="70"/>
      <c r="G10" s="70"/>
      <c r="H10" s="70"/>
    </row>
    <row r="11" spans="1:8" hidden="1">
      <c r="A11" s="122"/>
      <c r="B11" s="122"/>
      <c r="C11" s="67" t="s">
        <v>24</v>
      </c>
      <c r="D11" s="69"/>
      <c r="E11" s="70"/>
      <c r="F11" s="70"/>
      <c r="G11" s="70"/>
      <c r="H11" s="70"/>
    </row>
    <row r="12" spans="1:8" ht="165" hidden="1">
      <c r="A12" s="122"/>
      <c r="B12" s="124"/>
      <c r="C12" s="67" t="s">
        <v>25</v>
      </c>
      <c r="D12" s="68" t="s">
        <v>32</v>
      </c>
      <c r="E12" s="69"/>
      <c r="F12" s="70"/>
      <c r="G12" s="70"/>
      <c r="H12" s="70"/>
    </row>
    <row r="13" spans="1:8" ht="99" hidden="1">
      <c r="A13" s="117">
        <v>3</v>
      </c>
      <c r="B13" s="123" t="s">
        <v>16</v>
      </c>
      <c r="C13" s="21" t="s">
        <v>22</v>
      </c>
      <c r="D13" s="18" t="s">
        <v>57</v>
      </c>
      <c r="E13" s="1"/>
      <c r="F13" s="12"/>
      <c r="G13" s="12"/>
      <c r="H13" s="12"/>
    </row>
    <row r="14" spans="1:8" hidden="1">
      <c r="A14" s="117"/>
      <c r="B14" s="118"/>
      <c r="C14" s="21" t="s">
        <v>23</v>
      </c>
      <c r="D14" s="1"/>
      <c r="E14" s="1"/>
      <c r="F14" s="12"/>
      <c r="G14" s="12"/>
      <c r="H14" s="12"/>
    </row>
    <row r="15" spans="1:8" hidden="1">
      <c r="A15" s="117"/>
      <c r="B15" s="118"/>
      <c r="C15" s="21" t="s">
        <v>24</v>
      </c>
      <c r="D15" s="1" t="s">
        <v>29</v>
      </c>
      <c r="E15" s="1"/>
      <c r="F15" s="12"/>
      <c r="G15" s="12"/>
      <c r="H15" s="12"/>
    </row>
    <row r="16" spans="1:8" ht="33" hidden="1">
      <c r="A16" s="117"/>
      <c r="B16" s="119"/>
      <c r="C16" s="21" t="s">
        <v>25</v>
      </c>
      <c r="D16" s="18" t="s">
        <v>27</v>
      </c>
      <c r="E16" s="1" t="s">
        <v>28</v>
      </c>
      <c r="F16" s="12" t="s">
        <v>42</v>
      </c>
      <c r="G16" s="12"/>
      <c r="H16" s="12"/>
    </row>
  </sheetData>
  <mergeCells count="7">
    <mergeCell ref="A1:H2"/>
    <mergeCell ref="A4:A7"/>
    <mergeCell ref="B4:B7"/>
    <mergeCell ref="A8:A12"/>
    <mergeCell ref="A13:A16"/>
    <mergeCell ref="B13:B16"/>
    <mergeCell ref="B8:B1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D6"/>
  <sheetViews>
    <sheetView workbookViewId="0">
      <selection activeCell="C12" sqref="C12"/>
    </sheetView>
  </sheetViews>
  <sheetFormatPr defaultRowHeight="16.5"/>
  <cols>
    <col min="1" max="1" width="9" style="9"/>
    <col min="2" max="3" width="46.875" customWidth="1"/>
    <col min="4" max="4" width="42.375" customWidth="1"/>
  </cols>
  <sheetData>
    <row r="1" spans="1:4">
      <c r="A1" s="104" t="s">
        <v>38</v>
      </c>
      <c r="B1" s="104"/>
      <c r="C1" s="104"/>
      <c r="D1" s="104"/>
    </row>
    <row r="2" spans="1:4">
      <c r="A2" s="104"/>
      <c r="B2" s="104"/>
      <c r="C2" s="104"/>
      <c r="D2" s="104"/>
    </row>
    <row r="3" spans="1:4">
      <c r="A3" s="10" t="s">
        <v>0</v>
      </c>
      <c r="B3" s="8" t="s">
        <v>50</v>
      </c>
      <c r="C3" s="8" t="s">
        <v>52</v>
      </c>
      <c r="D3" s="8" t="s">
        <v>51</v>
      </c>
    </row>
    <row r="4" spans="1:4">
      <c r="A4" s="65">
        <v>1</v>
      </c>
      <c r="B4" s="6"/>
      <c r="C4" s="6"/>
      <c r="D4" s="6"/>
    </row>
    <row r="5" spans="1:4">
      <c r="A5" s="65">
        <v>2</v>
      </c>
      <c r="B5" s="6"/>
      <c r="C5" s="17"/>
      <c r="D5" s="17"/>
    </row>
    <row r="6" spans="1:4">
      <c r="A6" s="65"/>
      <c r="B6" s="6"/>
      <c r="C6" s="17"/>
      <c r="D6" s="17"/>
    </row>
  </sheetData>
  <mergeCells count="1">
    <mergeCell ref="A1:D2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6" sqref="D16"/>
    </sheetView>
  </sheetViews>
  <sheetFormatPr defaultRowHeight="16.5"/>
  <cols>
    <col min="1" max="1" width="9" style="9"/>
    <col min="2" max="2" width="25.75" customWidth="1"/>
    <col min="3" max="3" width="23.75" customWidth="1"/>
    <col min="4" max="5" width="25.75" customWidth="1"/>
    <col min="6" max="6" width="25.875" customWidth="1"/>
  </cols>
  <sheetData>
    <row r="1" spans="1:6">
      <c r="A1" s="104" t="s">
        <v>43</v>
      </c>
      <c r="B1" s="104"/>
      <c r="C1" s="104"/>
      <c r="D1" s="104"/>
      <c r="E1" s="104"/>
      <c r="F1" s="104"/>
    </row>
    <row r="2" spans="1:6">
      <c r="A2" s="104"/>
      <c r="B2" s="104"/>
      <c r="C2" s="104"/>
      <c r="D2" s="104"/>
      <c r="E2" s="104"/>
      <c r="F2" s="104"/>
    </row>
    <row r="3" spans="1:6">
      <c r="A3" s="10" t="s">
        <v>0</v>
      </c>
      <c r="B3" s="8" t="s">
        <v>36</v>
      </c>
      <c r="C3" s="8" t="s">
        <v>44</v>
      </c>
      <c r="D3" s="8" t="s">
        <v>45</v>
      </c>
      <c r="E3" s="8" t="s">
        <v>46</v>
      </c>
      <c r="F3" s="8" t="s">
        <v>47</v>
      </c>
    </row>
    <row r="4" spans="1:6">
      <c r="A4" s="11">
        <v>1</v>
      </c>
      <c r="B4" s="6"/>
      <c r="C4" s="6"/>
      <c r="D4" s="6"/>
      <c r="E4" s="6"/>
      <c r="F4" s="6"/>
    </row>
    <row r="5" spans="1:6">
      <c r="A5" s="11">
        <v>2</v>
      </c>
      <c r="B5" s="6"/>
      <c r="C5" s="17"/>
      <c r="D5" s="17"/>
      <c r="E5" s="17"/>
      <c r="F5" s="17"/>
    </row>
    <row r="6" spans="1:6">
      <c r="A6" s="11"/>
      <c r="B6" s="6"/>
      <c r="C6" s="17"/>
      <c r="D6" s="17"/>
      <c r="E6" s="17"/>
      <c r="F6" s="17"/>
    </row>
  </sheetData>
  <mergeCells count="1">
    <mergeCell ref="A1:F2"/>
  </mergeCells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E10" sqref="E10"/>
    </sheetView>
  </sheetViews>
  <sheetFormatPr defaultRowHeight="16.5"/>
  <cols>
    <col min="1" max="1" width="9" style="9"/>
    <col min="2" max="2" width="25.75" customWidth="1"/>
    <col min="3" max="3" width="23.75" customWidth="1"/>
    <col min="4" max="5" width="25.75" customWidth="1"/>
    <col min="6" max="6" width="25.875" customWidth="1"/>
  </cols>
  <sheetData>
    <row r="1" spans="1:6">
      <c r="A1" s="104" t="s">
        <v>201</v>
      </c>
      <c r="B1" s="104"/>
      <c r="C1" s="104"/>
      <c r="D1" s="104"/>
      <c r="E1" s="104"/>
      <c r="F1" s="104"/>
    </row>
    <row r="2" spans="1:6">
      <c r="A2" s="104"/>
      <c r="B2" s="104"/>
      <c r="C2" s="104"/>
      <c r="D2" s="104"/>
      <c r="E2" s="104"/>
      <c r="F2" s="104"/>
    </row>
    <row r="3" spans="1:6">
      <c r="A3" s="125"/>
      <c r="B3" s="126"/>
      <c r="C3" s="126"/>
      <c r="D3" s="126"/>
      <c r="E3" s="126"/>
      <c r="F3" s="127"/>
    </row>
    <row r="4" spans="1:6">
      <c r="A4" s="128"/>
      <c r="B4" s="129"/>
      <c r="C4" s="129"/>
      <c r="D4" s="129"/>
      <c r="E4" s="129"/>
      <c r="F4" s="130"/>
    </row>
    <row r="5" spans="1:6" ht="168.75" customHeight="1">
      <c r="A5" s="128"/>
      <c r="B5" s="129"/>
      <c r="C5" s="129"/>
      <c r="D5" s="129"/>
      <c r="E5" s="129"/>
      <c r="F5" s="130"/>
    </row>
    <row r="6" spans="1:6" ht="207" customHeight="1">
      <c r="A6" s="131"/>
      <c r="B6" s="132"/>
      <c r="C6" s="132"/>
      <c r="D6" s="132"/>
      <c r="E6" s="132"/>
      <c r="F6" s="133"/>
    </row>
  </sheetData>
  <mergeCells count="2">
    <mergeCell ref="A1:F2"/>
    <mergeCell ref="A3:F6"/>
  </mergeCells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2"/>
    </sheetView>
  </sheetViews>
  <sheetFormatPr defaultRowHeight="16.5"/>
  <cols>
    <col min="1" max="1" width="9" style="9"/>
    <col min="2" max="2" width="46.875" customWidth="1"/>
    <col min="3" max="3" width="62.375" customWidth="1"/>
    <col min="4" max="4" width="42.375" customWidth="1"/>
  </cols>
  <sheetData>
    <row r="1" spans="1:4">
      <c r="A1" s="104" t="s">
        <v>132</v>
      </c>
      <c r="B1" s="104"/>
      <c r="C1" s="104"/>
      <c r="D1" s="104"/>
    </row>
    <row r="2" spans="1:4">
      <c r="A2" s="104"/>
      <c r="B2" s="104"/>
      <c r="C2" s="104"/>
      <c r="D2" s="104"/>
    </row>
    <row r="3" spans="1:4">
      <c r="A3" s="10" t="s">
        <v>0</v>
      </c>
      <c r="B3" s="8" t="s">
        <v>1</v>
      </c>
      <c r="C3" s="8" t="s">
        <v>39</v>
      </c>
      <c r="D3" s="8" t="s">
        <v>3</v>
      </c>
    </row>
    <row r="4" spans="1:4">
      <c r="A4" s="65">
        <v>1</v>
      </c>
      <c r="B4" s="66"/>
      <c r="C4" s="3"/>
      <c r="D4" s="6"/>
    </row>
    <row r="5" spans="1:4">
      <c r="A5" s="65">
        <v>2</v>
      </c>
      <c r="B5" s="66"/>
      <c r="C5" s="79"/>
      <c r="D5" s="17"/>
    </row>
    <row r="6" spans="1:4">
      <c r="A6" s="65"/>
      <c r="B6" s="6"/>
      <c r="C6" s="17"/>
      <c r="D6" s="17"/>
    </row>
  </sheetData>
  <mergeCells count="1">
    <mergeCell ref="A1:D2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D36"/>
  <sheetViews>
    <sheetView workbookViewId="0">
      <selection activeCell="C17" sqref="C17"/>
    </sheetView>
  </sheetViews>
  <sheetFormatPr defaultRowHeight="16.5"/>
  <cols>
    <col min="1" max="1" width="9" style="2"/>
    <col min="2" max="2" width="36.75" customWidth="1"/>
    <col min="3" max="3" width="78.5" customWidth="1"/>
    <col min="4" max="4" width="52.625" customWidth="1"/>
  </cols>
  <sheetData>
    <row r="1" spans="1:4">
      <c r="A1" s="134" t="s">
        <v>2</v>
      </c>
      <c r="B1" s="134"/>
      <c r="C1" s="134"/>
      <c r="D1" s="134"/>
    </row>
    <row r="2" spans="1:4">
      <c r="A2" s="134"/>
      <c r="B2" s="134"/>
      <c r="C2" s="134"/>
      <c r="D2" s="134"/>
    </row>
    <row r="3" spans="1:4">
      <c r="A3" s="4" t="s">
        <v>0</v>
      </c>
      <c r="B3" s="5" t="s">
        <v>4</v>
      </c>
      <c r="C3" s="5" t="s">
        <v>7</v>
      </c>
      <c r="D3" s="5" t="s">
        <v>3</v>
      </c>
    </row>
    <row r="4" spans="1:4">
      <c r="A4" s="7">
        <v>1</v>
      </c>
      <c r="B4" s="6"/>
      <c r="C4" s="6"/>
      <c r="D4" s="6"/>
    </row>
    <row r="5" spans="1:4">
      <c r="A5" s="7">
        <v>2</v>
      </c>
      <c r="B5" s="12"/>
      <c r="C5" s="3"/>
      <c r="D5" s="6"/>
    </row>
    <row r="6" spans="1:4">
      <c r="A6" s="63">
        <v>3</v>
      </c>
      <c r="B6" s="6"/>
      <c r="C6" s="6"/>
      <c r="D6" s="6"/>
    </row>
    <row r="7" spans="1:4">
      <c r="A7" s="63">
        <v>4</v>
      </c>
      <c r="B7" s="6"/>
      <c r="C7" s="6"/>
      <c r="D7" s="6"/>
    </row>
    <row r="8" spans="1:4">
      <c r="A8" s="63">
        <v>5</v>
      </c>
      <c r="B8" s="74"/>
      <c r="C8" s="6"/>
      <c r="D8" s="6"/>
    </row>
    <row r="9" spans="1:4">
      <c r="A9" s="63">
        <v>6</v>
      </c>
      <c r="B9" s="75"/>
      <c r="C9" s="6"/>
      <c r="D9" s="6"/>
    </row>
    <row r="10" spans="1:4">
      <c r="A10" s="63">
        <v>7</v>
      </c>
      <c r="B10" s="76"/>
      <c r="C10" s="6"/>
      <c r="D10" s="6"/>
    </row>
    <row r="11" spans="1:4">
      <c r="A11" s="63">
        <v>8</v>
      </c>
      <c r="B11" s="75"/>
      <c r="C11" s="6"/>
      <c r="D11" s="6"/>
    </row>
    <row r="12" spans="1:4">
      <c r="A12" s="63">
        <v>9</v>
      </c>
      <c r="B12" s="78"/>
      <c r="C12" s="6"/>
      <c r="D12" s="6"/>
    </row>
    <row r="13" spans="1:4">
      <c r="C13" s="27"/>
    </row>
    <row r="14" spans="1:4">
      <c r="C14" s="27"/>
    </row>
    <row r="16" spans="1:4">
      <c r="C16" s="27"/>
    </row>
    <row r="18" spans="3:4">
      <c r="C18" s="27"/>
      <c r="D18" s="81"/>
    </row>
    <row r="20" spans="3:4">
      <c r="C20" s="27"/>
    </row>
    <row r="22" spans="3:4">
      <c r="C22" s="27"/>
      <c r="D22" s="27"/>
    </row>
    <row r="26" spans="3:4">
      <c r="C26" s="27"/>
    </row>
    <row r="28" spans="3:4">
      <c r="C28" s="27"/>
    </row>
    <row r="30" spans="3:4">
      <c r="C30" s="27"/>
    </row>
    <row r="32" spans="3:4">
      <c r="C32" s="27"/>
    </row>
    <row r="36" spans="3:3">
      <c r="C36" s="80"/>
    </row>
  </sheetData>
  <mergeCells count="1">
    <mergeCell ref="A1:D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1" sqref="M31"/>
    </sheetView>
  </sheetViews>
  <sheetFormatPr defaultRowHeight="16.5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48"/>
  <sheetViews>
    <sheetView topLeftCell="A10" workbookViewId="0">
      <selection activeCell="B3" sqref="B3:S48"/>
    </sheetView>
  </sheetViews>
  <sheetFormatPr defaultRowHeight="16.5"/>
  <cols>
    <col min="19" max="19" width="15.125" customWidth="1"/>
  </cols>
  <sheetData>
    <row r="3" spans="2:19"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</row>
    <row r="4" spans="2:19"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</row>
    <row r="5" spans="2:19"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</row>
    <row r="6" spans="2:19"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</row>
    <row r="7" spans="2:19"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</row>
    <row r="8" spans="2:19"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</row>
    <row r="9" spans="2:19"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</row>
    <row r="10" spans="2:19"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</row>
    <row r="11" spans="2:19"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</row>
    <row r="12" spans="2:19"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</row>
    <row r="13" spans="2:19"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</row>
    <row r="14" spans="2:19"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</row>
    <row r="15" spans="2:19"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</row>
    <row r="16" spans="2:19"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</row>
    <row r="17" spans="2:19"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</row>
    <row r="18" spans="2:19"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</row>
    <row r="19" spans="2:19"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</row>
    <row r="20" spans="2:19"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</row>
    <row r="21" spans="2:19"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</row>
    <row r="22" spans="2:19"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</row>
    <row r="23" spans="2:19"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</row>
    <row r="24" spans="2:19"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</row>
    <row r="25" spans="2:19"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</row>
    <row r="26" spans="2:19"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</row>
    <row r="27" spans="2:19"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</row>
    <row r="28" spans="2:19"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</row>
    <row r="29" spans="2:19"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</row>
    <row r="30" spans="2:19"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</row>
    <row r="31" spans="2:19"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</row>
    <row r="32" spans="2:19"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</row>
    <row r="33" spans="2:19"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</row>
    <row r="34" spans="2:19"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</row>
    <row r="35" spans="2:19"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</row>
    <row r="36" spans="2:19"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</row>
    <row r="37" spans="2:19"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</row>
    <row r="38" spans="2:19"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</row>
    <row r="39" spans="2:19"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</row>
    <row r="40" spans="2:19"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</row>
    <row r="41" spans="2:19"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</row>
    <row r="42" spans="2:19"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</row>
    <row r="43" spans="2:19"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</row>
    <row r="44" spans="2:19"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</row>
    <row r="45" spans="2:19"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</row>
    <row r="46" spans="2:19"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</row>
    <row r="47" spans="2:19"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</row>
    <row r="48" spans="2:19"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</row>
  </sheetData>
  <mergeCells count="1">
    <mergeCell ref="B3:S48"/>
  </mergeCells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48"/>
  <sheetViews>
    <sheetView workbookViewId="0">
      <selection activeCell="B3" sqref="B3:S48"/>
    </sheetView>
  </sheetViews>
  <sheetFormatPr defaultRowHeight="16.5"/>
  <cols>
    <col min="19" max="19" width="15.125" customWidth="1"/>
  </cols>
  <sheetData>
    <row r="3" spans="2:19"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</row>
    <row r="4" spans="2:19"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</row>
    <row r="5" spans="2:19"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</row>
    <row r="6" spans="2:19"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</row>
    <row r="7" spans="2:19"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</row>
    <row r="8" spans="2:19"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  <c r="R8" s="135"/>
      <c r="S8" s="135"/>
    </row>
    <row r="9" spans="2:19"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  <c r="R9" s="135"/>
      <c r="S9" s="135"/>
    </row>
    <row r="10" spans="2:19"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</row>
    <row r="11" spans="2:19"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  <c r="R11" s="135"/>
      <c r="S11" s="135"/>
    </row>
    <row r="12" spans="2:19"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  <c r="O12" s="135"/>
      <c r="P12" s="135"/>
      <c r="Q12" s="135"/>
      <c r="R12" s="135"/>
      <c r="S12" s="135"/>
    </row>
    <row r="13" spans="2:19"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</row>
    <row r="14" spans="2:19"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</row>
    <row r="15" spans="2:19">
      <c r="B15" s="135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</row>
    <row r="16" spans="2:19">
      <c r="B16" s="135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</row>
    <row r="17" spans="2:19"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</row>
    <row r="18" spans="2:19"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</row>
    <row r="19" spans="2:19"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</row>
    <row r="20" spans="2:19">
      <c r="B20" s="135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</row>
    <row r="21" spans="2:19"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</row>
    <row r="22" spans="2:19">
      <c r="B22" s="135"/>
      <c r="C22" s="135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</row>
    <row r="23" spans="2:19">
      <c r="B23" s="135"/>
      <c r="C23" s="135"/>
      <c r="D23" s="135"/>
      <c r="E23" s="135"/>
      <c r="F23" s="135"/>
      <c r="G23" s="13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</row>
    <row r="24" spans="2:19"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</row>
    <row r="25" spans="2:19"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</row>
    <row r="26" spans="2:19"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</row>
    <row r="27" spans="2:19"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</row>
    <row r="28" spans="2:19"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5"/>
      <c r="N28" s="135"/>
      <c r="O28" s="135"/>
      <c r="P28" s="135"/>
      <c r="Q28" s="135"/>
      <c r="R28" s="135"/>
      <c r="S28" s="135"/>
    </row>
    <row r="29" spans="2:19"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</row>
    <row r="30" spans="2:19"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</row>
    <row r="31" spans="2:19"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</row>
    <row r="32" spans="2:19"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</row>
    <row r="33" spans="2:19"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</row>
    <row r="34" spans="2:19"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</row>
    <row r="35" spans="2:19"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</row>
    <row r="36" spans="2:19"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</row>
    <row r="37" spans="2:19"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</row>
    <row r="38" spans="2:19"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</row>
    <row r="39" spans="2:19"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</row>
    <row r="40" spans="2:19"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</row>
    <row r="41" spans="2:19"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</row>
    <row r="42" spans="2:19"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</row>
    <row r="43" spans="2:19">
      <c r="B43" s="135"/>
      <c r="C43" s="135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</row>
    <row r="44" spans="2:19">
      <c r="B44" s="135"/>
      <c r="C44" s="135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</row>
    <row r="45" spans="2:19">
      <c r="B45" s="135"/>
      <c r="C45" s="135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</row>
    <row r="46" spans="2:19">
      <c r="B46" s="135"/>
      <c r="C46" s="135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</row>
    <row r="47" spans="2:19">
      <c r="B47" s="135"/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</row>
    <row r="48" spans="2:19">
      <c r="B48" s="135"/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</row>
  </sheetData>
  <mergeCells count="1">
    <mergeCell ref="B3:S4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專案計劃</vt:lpstr>
      <vt:lpstr>EHS架構圖</vt:lpstr>
      <vt:lpstr>任務列表</vt:lpstr>
      <vt:lpstr>基本資料</vt:lpstr>
      <vt:lpstr>系統管理</vt:lpstr>
      <vt:lpstr>用戶角色權限</vt:lpstr>
      <vt:lpstr>審核流程圖</vt:lpstr>
      <vt:lpstr>其他</vt:lpstr>
      <vt:lpstr>說明</vt:lpstr>
      <vt:lpstr>數據庫設計</vt:lpstr>
      <vt:lpstr>模塊化架構圖</vt:lpstr>
      <vt:lpstr>模塊化架構圖 (刪除)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2021-03-04T04:12:14Z</dcterms:modified>
</cp:coreProperties>
</file>