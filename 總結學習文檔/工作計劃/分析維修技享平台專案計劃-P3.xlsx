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 Folder\專案\工管\分析維修\"/>
    </mc:Choice>
  </mc:AlternateContent>
  <bookViews>
    <workbookView xWindow="0" yWindow="0" windowWidth="28800" windowHeight="12300" activeTab="2"/>
  </bookViews>
  <sheets>
    <sheet name="專案計劃-P1.技術傳承" sheetId="1" r:id="rId1"/>
    <sheet name="專案計劃-P2.技術論壇" sheetId="2" r:id="rId2"/>
    <sheet name="專案計劃-P3.在線學習與考試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" i="2" l="1"/>
  <c r="E44" i="2"/>
  <c r="E38" i="2"/>
  <c r="E33" i="2" s="1"/>
  <c r="E39" i="3"/>
  <c r="E37" i="3"/>
  <c r="E32" i="3"/>
  <c r="E28" i="3"/>
  <c r="E36" i="3"/>
  <c r="E8" i="3"/>
  <c r="E4" i="3"/>
  <c r="E13" i="3"/>
  <c r="E20" i="3"/>
  <c r="E12" i="3"/>
  <c r="E49" i="3"/>
  <c r="E44" i="3"/>
  <c r="D43" i="3"/>
  <c r="D3" i="3"/>
  <c r="E27" i="3" l="1"/>
  <c r="E11" i="3"/>
  <c r="E3" i="3" s="1"/>
  <c r="E43" i="3"/>
  <c r="E43" i="2"/>
  <c r="E32" i="2"/>
  <c r="D31" i="2"/>
  <c r="E12" i="2"/>
  <c r="E21" i="2"/>
  <c r="E8" i="2"/>
  <c r="E4" i="2"/>
  <c r="D3" i="2"/>
  <c r="E31" i="2" l="1"/>
  <c r="E11" i="2"/>
  <c r="E3" i="2" s="1"/>
  <c r="D35" i="1"/>
  <c r="D3" i="1"/>
  <c r="E41" i="1"/>
  <c r="E18" i="1"/>
  <c r="E12" i="1"/>
  <c r="E11" i="1" s="1"/>
  <c r="E8" i="1"/>
  <c r="E4" i="1"/>
  <c r="E36" i="1"/>
  <c r="E25" i="1"/>
  <c r="E30" i="1"/>
  <c r="E3" i="1" l="1"/>
  <c r="E35" i="1"/>
</calcChain>
</file>

<file path=xl/sharedStrings.xml><?xml version="1.0" encoding="utf-8"?>
<sst xmlns="http://schemas.openxmlformats.org/spreadsheetml/2006/main" count="450" uniqueCount="234">
  <si>
    <t>任務項次</t>
    <phoneticPr fontId="2" type="noConversion"/>
  </si>
  <si>
    <t>任務名稱</t>
    <phoneticPr fontId="2" type="noConversion"/>
  </si>
  <si>
    <t>工期
（天）</t>
    <phoneticPr fontId="2" type="noConversion"/>
  </si>
  <si>
    <t>工時
(人天)</t>
    <phoneticPr fontId="2" type="noConversion"/>
  </si>
  <si>
    <t>3月</t>
    <phoneticPr fontId="2" type="noConversion"/>
  </si>
  <si>
    <t>4月</t>
    <phoneticPr fontId="2" type="noConversion"/>
  </si>
  <si>
    <t>5月</t>
  </si>
  <si>
    <t>6月</t>
    <phoneticPr fontId="2" type="noConversion"/>
  </si>
  <si>
    <t>7月</t>
    <phoneticPr fontId="2" type="noConversion"/>
  </si>
  <si>
    <t>8月</t>
    <phoneticPr fontId="2" type="noConversion"/>
  </si>
  <si>
    <t>WK11</t>
  </si>
  <si>
    <t>WK12</t>
  </si>
  <si>
    <t>WK13</t>
  </si>
  <si>
    <t>WK14</t>
  </si>
  <si>
    <t>WK15</t>
  </si>
  <si>
    <t>WK16</t>
  </si>
  <si>
    <t>WK17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</si>
  <si>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</si>
  <si>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</si>
  <si>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</si>
  <si>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</si>
  <si>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</si>
  <si>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</si>
  <si>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</si>
  <si>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</si>
  <si>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</si>
  <si>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</si>
  <si>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</si>
  <si>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</si>
  <si>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</si>
  <si>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</si>
  <si>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</si>
  <si>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需求分析</t>
  </si>
  <si>
    <t>1-1</t>
    <phoneticPr fontId="2" type="noConversion"/>
  </si>
  <si>
    <t>需求訪談</t>
    <phoneticPr fontId="2" type="noConversion"/>
  </si>
  <si>
    <t>1-2</t>
  </si>
  <si>
    <t>需求分析</t>
    <phoneticPr fontId="2" type="noConversion"/>
  </si>
  <si>
    <t>1-3</t>
    <phoneticPr fontId="2" type="noConversion"/>
  </si>
  <si>
    <t>制定專案計畫</t>
    <phoneticPr fontId="2" type="noConversion"/>
  </si>
  <si>
    <t>2</t>
    <phoneticPr fontId="2" type="noConversion"/>
  </si>
  <si>
    <t>系統設計</t>
    <phoneticPr fontId="2" type="noConversion"/>
  </si>
  <si>
    <t>2-1</t>
    <phoneticPr fontId="2" type="noConversion"/>
  </si>
  <si>
    <t>2-2</t>
  </si>
  <si>
    <t>系統架構設計</t>
    <phoneticPr fontId="2" type="noConversion"/>
  </si>
  <si>
    <t>3</t>
    <phoneticPr fontId="2" type="noConversion"/>
  </si>
  <si>
    <t>系統開發</t>
    <phoneticPr fontId="2" type="noConversion"/>
  </si>
  <si>
    <t>3-1</t>
    <phoneticPr fontId="2" type="noConversion"/>
  </si>
  <si>
    <t>主頁</t>
    <phoneticPr fontId="2" type="noConversion"/>
  </si>
  <si>
    <t>3-1-1</t>
    <phoneticPr fontId="2" type="noConversion"/>
  </si>
  <si>
    <t>3-1-2</t>
    <phoneticPr fontId="2" type="noConversion"/>
  </si>
  <si>
    <t>系統首頁</t>
    <phoneticPr fontId="2" type="noConversion"/>
  </si>
  <si>
    <t>3-2</t>
    <phoneticPr fontId="2" type="noConversion"/>
  </si>
  <si>
    <t>3-2-1</t>
    <phoneticPr fontId="2" type="noConversion"/>
  </si>
  <si>
    <t>3-2-2</t>
    <phoneticPr fontId="2" type="noConversion"/>
  </si>
  <si>
    <t>3-4</t>
    <phoneticPr fontId="2" type="noConversion"/>
  </si>
  <si>
    <t>3-4-1</t>
    <phoneticPr fontId="2" type="noConversion"/>
  </si>
  <si>
    <t>3-4-2</t>
    <phoneticPr fontId="2" type="noConversion"/>
  </si>
  <si>
    <t>3-4-3</t>
  </si>
  <si>
    <t>3-4-4</t>
  </si>
  <si>
    <t>3-3</t>
    <phoneticPr fontId="2" type="noConversion"/>
  </si>
  <si>
    <t>3-3-1</t>
    <phoneticPr fontId="2" type="noConversion"/>
  </si>
  <si>
    <t>3-3-2</t>
    <phoneticPr fontId="2" type="noConversion"/>
  </si>
  <si>
    <t>3-3-3</t>
  </si>
  <si>
    <t>系統管理</t>
    <phoneticPr fontId="2" type="noConversion"/>
  </si>
  <si>
    <t>系統設置</t>
    <phoneticPr fontId="2" type="noConversion"/>
  </si>
  <si>
    <t>4</t>
    <phoneticPr fontId="2" type="noConversion"/>
  </si>
  <si>
    <t>系統測試</t>
    <phoneticPr fontId="2" type="noConversion"/>
  </si>
  <si>
    <t>4-1</t>
    <phoneticPr fontId="2" type="noConversion"/>
  </si>
  <si>
    <t>系統測試執行</t>
    <phoneticPr fontId="2" type="noConversion"/>
  </si>
  <si>
    <t>4-2</t>
    <phoneticPr fontId="2" type="noConversion"/>
  </si>
  <si>
    <t>測試問題修訂</t>
    <phoneticPr fontId="2" type="noConversion"/>
  </si>
  <si>
    <t>ALL</t>
    <phoneticPr fontId="2" type="noConversion"/>
  </si>
  <si>
    <t>4-3</t>
  </si>
  <si>
    <t>用戶測試執行</t>
    <phoneticPr fontId="2" type="noConversion"/>
  </si>
  <si>
    <t>KeyUser</t>
    <phoneticPr fontId="2" type="noConversion"/>
  </si>
  <si>
    <t>4-4</t>
  </si>
  <si>
    <t>5</t>
    <phoneticPr fontId="2" type="noConversion"/>
  </si>
  <si>
    <t>系統上線</t>
    <phoneticPr fontId="2" type="noConversion"/>
  </si>
  <si>
    <t>5-1</t>
    <phoneticPr fontId="2" type="noConversion"/>
  </si>
  <si>
    <t>資料配置及導入</t>
    <phoneticPr fontId="2" type="noConversion"/>
  </si>
  <si>
    <t>5-2</t>
  </si>
  <si>
    <t>正式系統部署</t>
    <phoneticPr fontId="2" type="noConversion"/>
  </si>
  <si>
    <t>5-3</t>
  </si>
  <si>
    <t>系統正式上線</t>
    <phoneticPr fontId="2" type="noConversion"/>
  </si>
  <si>
    <t>圖例：</t>
    <phoneticPr fontId="2" type="noConversion"/>
  </si>
  <si>
    <t>計畫</t>
    <phoneticPr fontId="2" type="noConversion"/>
  </si>
  <si>
    <t>進行中</t>
    <phoneticPr fontId="2" type="noConversion"/>
  </si>
  <si>
    <t>已完成</t>
    <phoneticPr fontId="2" type="noConversion"/>
  </si>
  <si>
    <t>延遲</t>
    <phoneticPr fontId="2" type="noConversion"/>
  </si>
  <si>
    <t>2月</t>
    <phoneticPr fontId="1" type="noConversion"/>
  </si>
  <si>
    <t>查志勇</t>
    <phoneticPr fontId="2" type="noConversion"/>
  </si>
  <si>
    <t>資料庫設計</t>
    <phoneticPr fontId="1" type="noConversion"/>
  </si>
  <si>
    <t>徐寧寧</t>
    <phoneticPr fontId="2" type="noConversion"/>
  </si>
  <si>
    <t>UI Layout主題模板</t>
    <phoneticPr fontId="2" type="noConversion"/>
  </si>
  <si>
    <t>登錄頁面</t>
    <phoneticPr fontId="1" type="noConversion"/>
  </si>
  <si>
    <t xml:space="preserve">    3-1-2-1</t>
    <phoneticPr fontId="2" type="noConversion"/>
  </si>
  <si>
    <t>系統公告</t>
    <phoneticPr fontId="2" type="noConversion"/>
  </si>
  <si>
    <t xml:space="preserve">    3-1-2-2</t>
    <phoneticPr fontId="2" type="noConversion"/>
  </si>
  <si>
    <t>技術熱帖</t>
    <phoneticPr fontId="2" type="noConversion"/>
  </si>
  <si>
    <t>技術傳承模塊</t>
    <phoneticPr fontId="2" type="noConversion"/>
  </si>
  <si>
    <t>查詢頁面</t>
    <phoneticPr fontId="2" type="noConversion"/>
  </si>
  <si>
    <t>新增項目</t>
    <phoneticPr fontId="2" type="noConversion"/>
  </si>
  <si>
    <t>編輯項目</t>
    <phoneticPr fontId="2" type="noConversion"/>
  </si>
  <si>
    <t>韓文仙</t>
    <phoneticPr fontId="2" type="noConversion"/>
  </si>
  <si>
    <t>基礎資料</t>
    <phoneticPr fontId="2" type="noConversion"/>
  </si>
  <si>
    <t>基礎參數管理</t>
    <phoneticPr fontId="2" type="noConversion"/>
  </si>
  <si>
    <t>公告管理</t>
    <phoneticPr fontId="2" type="noConversion"/>
  </si>
  <si>
    <t>產品系列</t>
    <phoneticPr fontId="2" type="noConversion"/>
  </si>
  <si>
    <t>機種</t>
    <phoneticPr fontId="2" type="noConversion"/>
  </si>
  <si>
    <t>3-3-4</t>
  </si>
  <si>
    <t>測試工站</t>
    <phoneticPr fontId="1" type="noConversion"/>
  </si>
  <si>
    <t>測試項目</t>
    <phoneticPr fontId="1" type="noConversion"/>
  </si>
  <si>
    <t>3-2-3</t>
  </si>
  <si>
    <t>3-2-4</t>
  </si>
  <si>
    <t>3-2-5</t>
  </si>
  <si>
    <t>同步維修結果</t>
    <phoneticPr fontId="2" type="noConversion"/>
  </si>
  <si>
    <t>日誌管理</t>
    <phoneticPr fontId="1" type="noConversion"/>
  </si>
  <si>
    <t>査志勇</t>
    <phoneticPr fontId="2" type="noConversion"/>
  </si>
  <si>
    <t>3-2-6</t>
  </si>
  <si>
    <t>導入項目</t>
    <phoneticPr fontId="1" type="noConversion"/>
  </si>
  <si>
    <t>導出項目</t>
    <phoneticPr fontId="2" type="noConversion"/>
  </si>
  <si>
    <t>項目開發（第一階段）</t>
    <phoneticPr fontId="2" type="noConversion"/>
  </si>
  <si>
    <t>測試上線</t>
    <phoneticPr fontId="2" type="noConversion"/>
  </si>
  <si>
    <t>責任人</t>
    <phoneticPr fontId="2" type="noConversion"/>
  </si>
  <si>
    <t>技術論壇</t>
    <phoneticPr fontId="2" type="noConversion"/>
  </si>
  <si>
    <t>用戶留言板</t>
    <phoneticPr fontId="2" type="noConversion"/>
  </si>
  <si>
    <t>論壇管理</t>
    <phoneticPr fontId="2" type="noConversion"/>
  </si>
  <si>
    <t>欄目版塊管理</t>
    <phoneticPr fontId="2" type="noConversion"/>
  </si>
  <si>
    <t>技術帖管理</t>
    <phoneticPr fontId="2" type="noConversion"/>
  </si>
  <si>
    <t>技術貼發佈、編輯</t>
    <phoneticPr fontId="1" type="noConversion"/>
  </si>
  <si>
    <t xml:space="preserve">    3-1-1-1</t>
    <phoneticPr fontId="2" type="noConversion"/>
  </si>
  <si>
    <t>技術貼留言、回復</t>
    <phoneticPr fontId="1" type="noConversion"/>
  </si>
  <si>
    <t xml:space="preserve">    3-1-1-2</t>
  </si>
  <si>
    <t xml:space="preserve">    3-1-1-3</t>
  </si>
  <si>
    <t xml:space="preserve">    3-1-1-4</t>
  </si>
  <si>
    <t>技術貼查詢瀏覽</t>
    <phoneticPr fontId="1" type="noConversion"/>
  </si>
  <si>
    <t xml:space="preserve">    3-1-1-5</t>
  </si>
  <si>
    <t>熱帖排行</t>
    <phoneticPr fontId="1" type="noConversion"/>
  </si>
  <si>
    <t>論壇應用</t>
    <phoneticPr fontId="2" type="noConversion"/>
  </si>
  <si>
    <t xml:space="preserve">    3-2-1-1</t>
    <phoneticPr fontId="2" type="noConversion"/>
  </si>
  <si>
    <t>留言回復</t>
    <phoneticPr fontId="2" type="noConversion"/>
  </si>
  <si>
    <t xml:space="preserve">    3-2-1-2</t>
  </si>
  <si>
    <t>留言板管理</t>
    <phoneticPr fontId="1" type="noConversion"/>
  </si>
  <si>
    <t>新建留言</t>
    <phoneticPr fontId="2" type="noConversion"/>
  </si>
  <si>
    <t xml:space="preserve">    3-2-1-3</t>
  </si>
  <si>
    <t>留言查看</t>
    <phoneticPr fontId="2" type="noConversion"/>
  </si>
  <si>
    <t>WK18</t>
    <phoneticPr fontId="1" type="noConversion"/>
  </si>
  <si>
    <t>WK18</t>
    <phoneticPr fontId="1" type="noConversion"/>
  </si>
  <si>
    <t>WK10</t>
  </si>
  <si>
    <t>WK34</t>
  </si>
  <si>
    <t>WK35</t>
  </si>
  <si>
    <t>李偉光</t>
    <phoneticPr fontId="2" type="noConversion"/>
  </si>
  <si>
    <t>管理員回復</t>
    <phoneticPr fontId="2" type="noConversion"/>
  </si>
  <si>
    <t>留言帖管理</t>
    <phoneticPr fontId="2" type="noConversion"/>
  </si>
  <si>
    <t>留言消息通知</t>
    <phoneticPr fontId="2" type="noConversion"/>
  </si>
  <si>
    <t xml:space="preserve">    3-2-1-4</t>
  </si>
  <si>
    <t>6月</t>
    <phoneticPr fontId="1" type="noConversion"/>
  </si>
  <si>
    <t>項目開發（第二階段）</t>
    <phoneticPr fontId="2" type="noConversion"/>
  </si>
  <si>
    <t>項目開發（第三階段）</t>
    <phoneticPr fontId="2" type="noConversion"/>
  </si>
  <si>
    <t>課程分類</t>
    <phoneticPr fontId="1" type="noConversion"/>
  </si>
  <si>
    <t>後台課程管理</t>
    <phoneticPr fontId="2" type="noConversion"/>
  </si>
  <si>
    <t>課件管理
（上傳、轉檔、加密、水印）</t>
    <phoneticPr fontId="1" type="noConversion"/>
  </si>
  <si>
    <t>課程管理
（新增、修改、上架、下架）</t>
    <phoneticPr fontId="1" type="noConversion"/>
  </si>
  <si>
    <t>課程章節管理</t>
    <phoneticPr fontId="1" type="noConversion"/>
  </si>
  <si>
    <t xml:space="preserve">    3-1-1-6</t>
  </si>
  <si>
    <t>課程列表瀏覽查詢</t>
    <phoneticPr fontId="2" type="noConversion"/>
  </si>
  <si>
    <t>課程詳情頁面</t>
    <phoneticPr fontId="2" type="noConversion"/>
  </si>
  <si>
    <t>視頻課程學習</t>
    <phoneticPr fontId="2" type="noConversion"/>
  </si>
  <si>
    <t>PDF文檔課程學習</t>
    <phoneticPr fontId="2" type="noConversion"/>
  </si>
  <si>
    <t xml:space="preserve">    3-1-2-3</t>
  </si>
  <si>
    <t xml:space="preserve">    3-1-2-4</t>
  </si>
  <si>
    <t xml:space="preserve">    3-1-2-5</t>
  </si>
  <si>
    <t>課程分級</t>
    <phoneticPr fontId="1" type="noConversion"/>
  </si>
  <si>
    <t>課程標籤</t>
    <phoneticPr fontId="1" type="noConversion"/>
  </si>
  <si>
    <t>考試記錄</t>
    <phoneticPr fontId="2" type="noConversion"/>
  </si>
  <si>
    <t>我的課程</t>
    <phoneticPr fontId="2" type="noConversion"/>
  </si>
  <si>
    <t>我的考試</t>
    <phoneticPr fontId="2" type="noConversion"/>
  </si>
  <si>
    <t>個人菜單</t>
    <phoneticPr fontId="2" type="noConversion"/>
  </si>
  <si>
    <t>學習記錄</t>
    <phoneticPr fontId="2" type="noConversion"/>
  </si>
  <si>
    <t xml:space="preserve">    3-3-2-1</t>
    <phoneticPr fontId="1" type="noConversion"/>
  </si>
  <si>
    <t xml:space="preserve">    3-3-2-2</t>
  </si>
  <si>
    <t xml:space="preserve">    3-3-2-3</t>
  </si>
  <si>
    <t>試題糾錯</t>
    <phoneticPr fontId="2" type="noConversion"/>
  </si>
  <si>
    <t>試題解析</t>
    <phoneticPr fontId="2" type="noConversion"/>
  </si>
  <si>
    <t>課程考試
（對接在線考試功能）</t>
    <phoneticPr fontId="2" type="noConversion"/>
  </si>
  <si>
    <t>考試記錄
（對接在線考試功能）</t>
    <phoneticPr fontId="2" type="noConversion"/>
  </si>
  <si>
    <t>後台考試管理</t>
    <phoneticPr fontId="2" type="noConversion"/>
  </si>
  <si>
    <t>在線學習功能（技術文檔模塊）</t>
    <phoneticPr fontId="2" type="noConversion"/>
  </si>
  <si>
    <t>在線考試功能（技能測試模塊）</t>
    <phoneticPr fontId="2" type="noConversion"/>
  </si>
  <si>
    <t>試題管理
（選擇題：新增、修改、導入、導出）</t>
    <phoneticPr fontId="2" type="noConversion"/>
  </si>
  <si>
    <t>隨機試卷生成</t>
    <phoneticPr fontId="1" type="noConversion"/>
  </si>
  <si>
    <t>課程考試設置
（課程、級別、試卷題型比例、分數、時間）</t>
    <phoneticPr fontId="2" type="noConversion"/>
  </si>
  <si>
    <t>在線考試</t>
    <phoneticPr fontId="1" type="noConversion"/>
  </si>
  <si>
    <t xml:space="preserve">    3-2-2-1</t>
    <phoneticPr fontId="1" type="noConversion"/>
  </si>
  <si>
    <t xml:space="preserve">    3-2-2-2</t>
  </si>
  <si>
    <t xml:space="preserve">    3-2-2-3</t>
  </si>
  <si>
    <t>開發人員</t>
    <phoneticPr fontId="2" type="noConversion"/>
  </si>
  <si>
    <t>課程在線學習</t>
    <phoneticPr fontId="2" type="noConversion"/>
  </si>
  <si>
    <t>課程在線考試</t>
    <phoneticPr fontId="2" type="noConversion"/>
  </si>
  <si>
    <t>張冉</t>
    <phoneticPr fontId="2" type="noConversion"/>
  </si>
  <si>
    <t>李振</t>
    <phoneticPr fontId="2" type="noConversion"/>
  </si>
  <si>
    <t>考試成績查詢</t>
    <phoneticPr fontId="2" type="noConversion"/>
  </si>
  <si>
    <t>試卷自動評分</t>
    <phoneticPr fontId="1" type="noConversion"/>
  </si>
  <si>
    <t>9月</t>
  </si>
  <si>
    <t>WK36</t>
  </si>
  <si>
    <t>WK37</t>
  </si>
  <si>
    <t>WK38</t>
  </si>
  <si>
    <t>WK39</t>
  </si>
  <si>
    <t xml:space="preserve">    3-3-1-1</t>
    <phoneticPr fontId="1" type="noConversion"/>
  </si>
  <si>
    <t xml:space="preserve">    3-1-2-2</t>
  </si>
  <si>
    <t xml:space="preserve">    3-1-2-6</t>
  </si>
  <si>
    <t>3-1-2</t>
    <phoneticPr fontId="1" type="noConversion"/>
  </si>
  <si>
    <t xml:space="preserve">    3-1-2-1</t>
    <phoneticPr fontId="1" type="noConversion"/>
  </si>
  <si>
    <t xml:space="preserve">    3-2-1-5</t>
  </si>
  <si>
    <t xml:space="preserve">    3-2-2-1</t>
    <phoneticPr fontId="2" type="noConversion"/>
  </si>
  <si>
    <t>消息通知</t>
    <phoneticPr fontId="1" type="noConversion"/>
  </si>
  <si>
    <t>留言板測試</t>
    <phoneticPr fontId="2" type="noConversion"/>
  </si>
  <si>
    <t>留言板</t>
    <phoneticPr fontId="2" type="noConversion"/>
  </si>
  <si>
    <t xml:space="preserve">    4-1-1</t>
    <phoneticPr fontId="2" type="noConversion"/>
  </si>
  <si>
    <t xml:space="preserve">    4-1-2</t>
  </si>
  <si>
    <t xml:space="preserve">    4-1-3</t>
  </si>
  <si>
    <t xml:space="preserve">    4-1-4</t>
  </si>
  <si>
    <t>技術論壇測試</t>
    <phoneticPr fontId="2" type="noConversion"/>
  </si>
  <si>
    <t xml:space="preserve">    4-2-1</t>
    <phoneticPr fontId="2" type="noConversion"/>
  </si>
  <si>
    <t xml:space="preserve">    4-2-2</t>
  </si>
  <si>
    <t xml:space="preserve">    4-2-3</t>
  </si>
  <si>
    <t xml:space="preserve">    4-2-4</t>
  </si>
  <si>
    <t>留言板上線</t>
    <phoneticPr fontId="2" type="noConversion"/>
  </si>
  <si>
    <t xml:space="preserve">    5-1-1</t>
    <phoneticPr fontId="2" type="noConversion"/>
  </si>
  <si>
    <t xml:space="preserve">    5-1-2</t>
  </si>
  <si>
    <t xml:space="preserve">    5-2-1</t>
    <phoneticPr fontId="2" type="noConversion"/>
  </si>
  <si>
    <t>5-2</t>
    <phoneticPr fontId="2" type="noConversion"/>
  </si>
  <si>
    <t xml:space="preserve">    5-2-2</t>
  </si>
  <si>
    <t>技術論壇上線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</si>
</sst>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;@"/>
  </numFmts>
  <fonts count="15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6"/>
      <scheme val="minor"/>
    </font>
    <font>
      <sz val="10"/>
      <color theme="1"/>
      <name val="等线"/>
      <family val="1"/>
      <charset val="136"/>
      <scheme val="minor"/>
    </font>
    <font>
      <b/>
      <sz val="10"/>
      <color theme="1"/>
      <name val="等线"/>
      <family val="1"/>
      <charset val="136"/>
      <scheme val="minor"/>
    </font>
    <font>
      <sz val="12"/>
      <color theme="1"/>
      <name val="等线"/>
      <family val="2"/>
      <charset val="136"/>
      <scheme val="minor"/>
    </font>
    <font>
      <sz val="12"/>
      <name val="等线"/>
      <family val="2"/>
      <charset val="136"/>
      <scheme val="minor"/>
    </font>
    <font>
      <sz val="10"/>
      <name val="等线"/>
      <family val="1"/>
      <charset val="136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trike/>
      <sz val="10"/>
      <color rgb="FFFF0000"/>
      <name val="等线"/>
      <family val="1"/>
      <charset val="136"/>
      <scheme val="minor"/>
    </font>
    <font>
      <strike/>
      <sz val="10"/>
      <color rgb="FFFF0000"/>
      <name val="等线"/>
      <family val="3"/>
      <charset val="134"/>
      <scheme val="minor"/>
    </font>
    <font>
      <sz val="10"/>
      <color rgb="FF0070C0"/>
      <name val="等线"/>
      <family val="1"/>
      <charset val="136"/>
      <scheme val="minor"/>
    </font>
    <font>
      <sz val="10"/>
      <color rgb="FF0070C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1" applyFont="1" applyFill="1" applyBorder="1"/>
    <xf numFmtId="0" fontId="3" fillId="0" borderId="1" xfId="1" applyFont="1" applyFill="1" applyBorder="1" applyAlignment="1">
      <alignment horizontal="center"/>
    </xf>
    <xf numFmtId="176" fontId="6" fillId="5" borderId="1" xfId="1" applyNumberFormat="1" applyFont="1" applyFill="1" applyBorder="1"/>
    <xf numFmtId="176" fontId="5" fillId="6" borderId="1" xfId="1" applyNumberFormat="1" applyFill="1" applyBorder="1"/>
    <xf numFmtId="176" fontId="5" fillId="7" borderId="1" xfId="1" applyNumberFormat="1" applyFill="1" applyBorder="1"/>
    <xf numFmtId="49" fontId="3" fillId="0" borderId="1" xfId="0" applyNumberFormat="1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center"/>
    </xf>
    <xf numFmtId="0" fontId="0" fillId="0" borderId="2" xfId="0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76" fontId="5" fillId="0" borderId="1" xfId="1" applyNumberFormat="1" applyFill="1" applyBorder="1"/>
    <xf numFmtId="49" fontId="4" fillId="0" borderId="0" xfId="0" applyNumberFormat="1" applyFont="1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176" fontId="5" fillId="5" borderId="1" xfId="1" applyNumberFormat="1" applyFill="1" applyBorder="1"/>
    <xf numFmtId="0" fontId="0" fillId="10" borderId="0" xfId="0" applyFill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76" fontId="9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76" fontId="9" fillId="2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left" vertical="center" indent="2"/>
    </xf>
    <xf numFmtId="0" fontId="12" fillId="0" borderId="1" xfId="0" applyFont="1" applyBorder="1" applyAlignment="1">
      <alignment horizontal="left" vertical="center" wrapText="1"/>
    </xf>
    <xf numFmtId="0" fontId="12" fillId="0" borderId="1" xfId="1" applyFont="1" applyFill="1" applyBorder="1"/>
    <xf numFmtId="0" fontId="12" fillId="9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left" vertical="center"/>
    </xf>
    <xf numFmtId="49" fontId="8" fillId="3" borderId="4" xfId="0" applyNumberFormat="1" applyFont="1" applyFill="1" applyBorder="1" applyAlignment="1">
      <alignment horizontal="left" vertical="center"/>
    </xf>
    <xf numFmtId="49" fontId="8" fillId="3" borderId="5" xfId="0" applyNumberFormat="1" applyFont="1" applyFill="1" applyBorder="1" applyAlignment="1">
      <alignment horizontal="left" vertical="center"/>
    </xf>
    <xf numFmtId="0" fontId="5" fillId="3" borderId="1" xfId="1" applyFill="1" applyBorder="1" applyAlignment="1">
      <alignment horizontal="center"/>
    </xf>
    <xf numFmtId="176" fontId="9" fillId="2" borderId="3" xfId="0" applyNumberFormat="1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5" fillId="3" borderId="4" xfId="1" applyFill="1" applyBorder="1" applyAlignment="1">
      <alignment horizontal="center"/>
    </xf>
    <xf numFmtId="0" fontId="5" fillId="3" borderId="5" xfId="1" applyFill="1" applyBorder="1" applyAlignment="1">
      <alignment horizontal="center"/>
    </xf>
    <xf numFmtId="176" fontId="9" fillId="2" borderId="5" xfId="0" applyNumberFormat="1" applyFont="1" applyFill="1" applyBorder="1" applyAlignment="1">
      <alignment horizontal="center" vertical="center"/>
    </xf>
    <xf numFmtId="49" fontId="13" fillId="11" borderId="1" xfId="0" applyNumberFormat="1" applyFont="1" applyFill="1" applyBorder="1" applyAlignment="1">
      <alignment horizontal="left" vertical="center" indent="2"/>
    </xf>
    <xf numFmtId="0" fontId="14" fillId="11" borderId="1" xfId="0" applyFont="1" applyFill="1" applyBorder="1" applyAlignment="1">
      <alignment horizontal="left" vertical="center" wrapText="1"/>
    </xf>
    <xf numFmtId="0" fontId="3" fillId="11" borderId="1" xfId="1" applyFont="1" applyFill="1" applyBorder="1"/>
    <xf numFmtId="0" fontId="3" fillId="11" borderId="1" xfId="1" applyFont="1" applyFill="1" applyBorder="1" applyAlignment="1">
      <alignment horizontal="center"/>
    </xf>
    <xf numFmtId="0" fontId="5" fillId="3" borderId="3" xfId="1" applyFill="1" applyBorder="1" applyAlignment="1">
      <alignment horizontal="center"/>
    </xf>
  </cellXfs>
  <cellStyles count="2">
    <cellStyle name="一般" xfId="0" builtinId="0"/>
    <cellStyle name="一般_工作表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zoomScaleNormal="100" workbookViewId="0">
      <pane xSplit="5" ySplit="2" topLeftCell="F9" activePane="bottomRight" state="frozen"/>
      <selection pane="topRight" activeCell="F1" sqref="F1"/>
      <selection pane="bottomLeft" activeCell="A3" sqref="A3"/>
      <selection pane="bottomRight" activeCell="D32" sqref="D32"/>
    </sheetView>
  </sheetViews>
  <sheetFormatPr defaultRowHeight="15.75" x14ac:dyDescent="0.25"/>
  <cols>
    <col min="1" max="1" width="12.875" style="1" bestFit="1" customWidth="1"/>
    <col min="2" max="2" width="37.25" style="22" customWidth="1"/>
    <col min="3" max="3" width="12.625" style="1" customWidth="1"/>
    <col min="4" max="4" width="6.75" style="1" bestFit="1" customWidth="1"/>
    <col min="5" max="5" width="5.75" style="1" bestFit="1" customWidth="1"/>
    <col min="6" max="14" width="9.5" style="1" customWidth="1"/>
    <col min="15" max="18" width="5.625" style="1" bestFit="1" customWidth="1"/>
    <col min="19" max="16384" width="9" style="1"/>
  </cols>
  <sheetData>
    <row r="1" spans="1:18" s="39" customFormat="1" x14ac:dyDescent="0.25">
      <c r="A1" s="54" t="s">
        <v>0</v>
      </c>
      <c r="B1" s="55" t="s">
        <v>1</v>
      </c>
      <c r="C1" s="56" t="s">
        <v>123</v>
      </c>
      <c r="D1" s="57" t="s">
        <v>2</v>
      </c>
      <c r="E1" s="55" t="s">
        <v>3</v>
      </c>
      <c r="F1" s="37" t="s">
        <v>89</v>
      </c>
      <c r="G1" s="52" t="s">
        <v>4</v>
      </c>
      <c r="H1" s="52"/>
      <c r="I1" s="52"/>
      <c r="J1" s="52"/>
      <c r="K1" s="50" t="s">
        <v>5</v>
      </c>
      <c r="L1" s="51"/>
      <c r="M1" s="51"/>
      <c r="N1" s="51"/>
      <c r="O1" s="52" t="s">
        <v>6</v>
      </c>
      <c r="P1" s="52"/>
      <c r="Q1" s="52"/>
      <c r="R1" s="52"/>
    </row>
    <row r="2" spans="1:18" s="39" customFormat="1" x14ac:dyDescent="0.25">
      <c r="A2" s="54"/>
      <c r="B2" s="55"/>
      <c r="C2" s="56"/>
      <c r="D2" s="58"/>
      <c r="E2" s="56"/>
      <c r="F2" s="40" t="s">
        <v>148</v>
      </c>
      <c r="G2" s="40" t="s">
        <v>10</v>
      </c>
      <c r="H2" s="40" t="s">
        <v>11</v>
      </c>
      <c r="I2" s="40" t="s">
        <v>12</v>
      </c>
      <c r="J2" s="40" t="s">
        <v>13</v>
      </c>
      <c r="K2" s="40" t="s">
        <v>14</v>
      </c>
      <c r="L2" s="40" t="s">
        <v>15</v>
      </c>
      <c r="M2" s="40" t="s">
        <v>16</v>
      </c>
      <c r="N2" s="40" t="s">
        <v>147</v>
      </c>
      <c r="O2" s="40" t="s">
        <v>17</v>
      </c>
      <c r="P2" s="40" t="s">
        <v>18</v>
      </c>
      <c r="Q2" s="40" t="s">
        <v>19</v>
      </c>
      <c r="R2" s="40" t="s">
        <v>20</v>
      </c>
    </row>
    <row r="3" spans="1:18" s="3" customFormat="1" x14ac:dyDescent="0.25">
      <c r="A3" s="53" t="s">
        <v>121</v>
      </c>
      <c r="B3" s="53"/>
      <c r="C3" s="53"/>
      <c r="D3" s="2">
        <f>SUM(D4,D8,D11)</f>
        <v>25</v>
      </c>
      <c r="E3" s="2">
        <f>SUM(E4,E8,E11)</f>
        <v>55</v>
      </c>
      <c r="F3" s="26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s="3" customFormat="1" x14ac:dyDescent="0.25">
      <c r="A4" s="28">
        <v>1</v>
      </c>
      <c r="B4" s="29" t="s">
        <v>32</v>
      </c>
      <c r="C4" s="30"/>
      <c r="D4" s="31">
        <v>5</v>
      </c>
      <c r="E4" s="31">
        <f>SUM(E5:E7)</f>
        <v>5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s="3" customFormat="1" x14ac:dyDescent="0.25">
      <c r="A5" s="6" t="s">
        <v>33</v>
      </c>
      <c r="B5" s="7" t="s">
        <v>34</v>
      </c>
      <c r="C5" s="8" t="s">
        <v>90</v>
      </c>
      <c r="D5" s="9"/>
      <c r="E5" s="9">
        <v>2</v>
      </c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s="3" customFormat="1" x14ac:dyDescent="0.25">
      <c r="A6" s="6" t="s">
        <v>35</v>
      </c>
      <c r="B6" s="7" t="s">
        <v>36</v>
      </c>
      <c r="C6" s="8" t="s">
        <v>90</v>
      </c>
      <c r="D6" s="9"/>
      <c r="E6" s="9">
        <v>2</v>
      </c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s="3" customFormat="1" x14ac:dyDescent="0.25">
      <c r="A7" s="6" t="s">
        <v>37</v>
      </c>
      <c r="B7" s="7" t="s">
        <v>38</v>
      </c>
      <c r="C7" s="8" t="s">
        <v>90</v>
      </c>
      <c r="D7" s="9"/>
      <c r="E7" s="9">
        <v>1</v>
      </c>
      <c r="F7" s="24"/>
      <c r="G7" s="5"/>
      <c r="H7" s="5"/>
      <c r="I7" s="5"/>
      <c r="J7" s="5"/>
      <c r="K7" s="5"/>
      <c r="L7" s="5"/>
      <c r="N7" s="5"/>
      <c r="O7" s="5"/>
      <c r="P7" s="5"/>
      <c r="Q7" s="5"/>
      <c r="R7" s="5"/>
    </row>
    <row r="8" spans="1:18" s="3" customFormat="1" x14ac:dyDescent="0.25">
      <c r="A8" s="28" t="s">
        <v>39</v>
      </c>
      <c r="B8" s="29" t="s">
        <v>40</v>
      </c>
      <c r="C8" s="30"/>
      <c r="D8" s="31">
        <v>5</v>
      </c>
      <c r="E8" s="31">
        <f>SUM(E9:E10)</f>
        <v>5</v>
      </c>
      <c r="F8" s="5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s="3" customFormat="1" x14ac:dyDescent="0.25">
      <c r="A9" s="6" t="s">
        <v>41</v>
      </c>
      <c r="B9" s="7" t="s">
        <v>43</v>
      </c>
      <c r="C9" s="8" t="s">
        <v>90</v>
      </c>
      <c r="D9" s="9"/>
      <c r="E9" s="9">
        <v>4</v>
      </c>
      <c r="F9" s="5"/>
      <c r="G9" s="10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s="3" customFormat="1" x14ac:dyDescent="0.25">
      <c r="A10" s="6" t="s">
        <v>42</v>
      </c>
      <c r="B10" s="7" t="s">
        <v>91</v>
      </c>
      <c r="C10" s="8" t="s">
        <v>90</v>
      </c>
      <c r="D10" s="9"/>
      <c r="E10" s="9">
        <v>1</v>
      </c>
      <c r="F10" s="5"/>
      <c r="G10" s="2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s="3" customFormat="1" x14ac:dyDescent="0.25">
      <c r="A11" s="28" t="s">
        <v>44</v>
      </c>
      <c r="B11" s="29" t="s">
        <v>45</v>
      </c>
      <c r="C11" s="28"/>
      <c r="D11" s="32">
        <v>15</v>
      </c>
      <c r="E11" s="31">
        <f>SUM(E12,E18,E25,E30)</f>
        <v>45</v>
      </c>
      <c r="F11" s="5"/>
      <c r="G11" s="5"/>
      <c r="H11" s="4"/>
      <c r="I11" s="4"/>
      <c r="J11" s="4"/>
      <c r="K11" s="5"/>
      <c r="L11" s="5"/>
      <c r="M11" s="5"/>
      <c r="N11" s="5"/>
      <c r="O11" s="5"/>
      <c r="P11" s="5"/>
      <c r="Q11" s="5"/>
      <c r="R11" s="5"/>
    </row>
    <row r="12" spans="1:18" s="3" customFormat="1" x14ac:dyDescent="0.25">
      <c r="A12" s="33" t="s">
        <v>46</v>
      </c>
      <c r="B12" s="34" t="s">
        <v>47</v>
      </c>
      <c r="C12" s="35"/>
      <c r="D12" s="36">
        <v>11</v>
      </c>
      <c r="E12" s="36">
        <f>SUM(E13:E17)</f>
        <v>11</v>
      </c>
      <c r="F12" s="5"/>
      <c r="G12" s="5"/>
      <c r="H12" s="35"/>
      <c r="I12" s="35"/>
      <c r="J12" s="35"/>
      <c r="K12" s="5"/>
      <c r="L12" s="5"/>
      <c r="M12" s="5"/>
      <c r="N12" s="5"/>
      <c r="O12" s="5"/>
      <c r="P12" s="5"/>
      <c r="Q12" s="5"/>
      <c r="R12" s="5"/>
    </row>
    <row r="13" spans="1:18" s="3" customFormat="1" x14ac:dyDescent="0.25">
      <c r="A13" s="13" t="s">
        <v>48</v>
      </c>
      <c r="B13" s="14" t="s">
        <v>93</v>
      </c>
      <c r="C13" s="8" t="s">
        <v>92</v>
      </c>
      <c r="D13" s="9"/>
      <c r="E13" s="9">
        <v>3</v>
      </c>
      <c r="F13" s="5"/>
      <c r="G13" s="5"/>
      <c r="H13" s="24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s="3" customFormat="1" x14ac:dyDescent="0.25">
      <c r="A14" s="13" t="s">
        <v>49</v>
      </c>
      <c r="B14" s="14" t="s">
        <v>94</v>
      </c>
      <c r="C14" s="8" t="s">
        <v>92</v>
      </c>
      <c r="D14" s="9"/>
      <c r="E14" s="9">
        <v>2</v>
      </c>
      <c r="F14" s="5"/>
      <c r="G14" s="5"/>
      <c r="H14" s="24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s="3" customFormat="1" x14ac:dyDescent="0.25">
      <c r="A15" s="13" t="s">
        <v>49</v>
      </c>
      <c r="B15" s="14" t="s">
        <v>50</v>
      </c>
      <c r="C15" s="8" t="s">
        <v>92</v>
      </c>
      <c r="D15" s="9"/>
      <c r="E15" s="9">
        <v>1</v>
      </c>
      <c r="F15" s="5"/>
      <c r="G15" s="5"/>
      <c r="H15" s="5"/>
      <c r="I15" s="24"/>
      <c r="J15" s="5"/>
      <c r="K15" s="5"/>
      <c r="L15" s="5"/>
      <c r="M15" s="5"/>
      <c r="N15" s="5"/>
      <c r="O15" s="5"/>
      <c r="P15" s="5"/>
      <c r="Q15" s="5"/>
      <c r="R15" s="5"/>
    </row>
    <row r="16" spans="1:18" s="3" customFormat="1" x14ac:dyDescent="0.25">
      <c r="A16" s="13" t="s">
        <v>95</v>
      </c>
      <c r="B16" s="14" t="s">
        <v>96</v>
      </c>
      <c r="C16" s="8" t="s">
        <v>92</v>
      </c>
      <c r="D16" s="9"/>
      <c r="E16" s="9">
        <v>2</v>
      </c>
      <c r="F16" s="5"/>
      <c r="G16" s="5"/>
      <c r="H16" s="5"/>
      <c r="I16" s="5"/>
      <c r="J16" s="24"/>
      <c r="K16" s="5"/>
      <c r="L16" s="5"/>
      <c r="M16" s="5"/>
      <c r="N16" s="5"/>
      <c r="O16" s="5"/>
      <c r="P16" s="5"/>
      <c r="Q16" s="5"/>
      <c r="R16" s="5"/>
    </row>
    <row r="17" spans="1:18" s="3" customFormat="1" x14ac:dyDescent="0.25">
      <c r="A17" s="13" t="s">
        <v>97</v>
      </c>
      <c r="B17" s="14" t="s">
        <v>98</v>
      </c>
      <c r="C17" s="8" t="s">
        <v>92</v>
      </c>
      <c r="D17" s="9"/>
      <c r="E17" s="9">
        <v>3</v>
      </c>
      <c r="F17" s="5"/>
      <c r="G17" s="5"/>
      <c r="H17" s="5"/>
      <c r="I17" s="5"/>
      <c r="J17" s="24"/>
      <c r="K17" s="5"/>
      <c r="L17" s="5"/>
      <c r="M17" s="5"/>
      <c r="N17" s="5"/>
      <c r="O17" s="5"/>
      <c r="P17" s="5"/>
      <c r="Q17" s="5"/>
      <c r="R17" s="5"/>
    </row>
    <row r="18" spans="1:18" s="3" customFormat="1" x14ac:dyDescent="0.25">
      <c r="A18" s="33" t="s">
        <v>51</v>
      </c>
      <c r="B18" s="34" t="s">
        <v>99</v>
      </c>
      <c r="C18" s="35"/>
      <c r="D18" s="36">
        <v>15</v>
      </c>
      <c r="E18" s="36">
        <f>SUM(E19:E24)</f>
        <v>15</v>
      </c>
      <c r="F18" s="5"/>
      <c r="G18" s="5"/>
      <c r="H18" s="35"/>
      <c r="I18" s="35"/>
      <c r="J18" s="35"/>
      <c r="K18" s="5"/>
      <c r="L18" s="5"/>
      <c r="M18" s="5"/>
      <c r="N18" s="5"/>
      <c r="O18" s="5"/>
      <c r="P18" s="5"/>
      <c r="Q18" s="5"/>
      <c r="R18" s="5"/>
    </row>
    <row r="19" spans="1:18" s="3" customFormat="1" x14ac:dyDescent="0.25">
      <c r="A19" s="13" t="s">
        <v>52</v>
      </c>
      <c r="B19" s="15" t="s">
        <v>100</v>
      </c>
      <c r="C19" s="8" t="s">
        <v>103</v>
      </c>
      <c r="D19" s="16"/>
      <c r="E19" s="16">
        <v>5</v>
      </c>
      <c r="F19" s="5"/>
      <c r="G19" s="5"/>
      <c r="H19" s="24"/>
      <c r="I19" s="5"/>
      <c r="K19" s="5"/>
      <c r="L19" s="17"/>
      <c r="N19" s="17"/>
      <c r="O19" s="17"/>
      <c r="P19" s="17"/>
      <c r="Q19" s="17"/>
      <c r="R19" s="17"/>
    </row>
    <row r="20" spans="1:18" s="3" customFormat="1" x14ac:dyDescent="0.25">
      <c r="A20" s="13" t="s">
        <v>53</v>
      </c>
      <c r="B20" s="15" t="s">
        <v>101</v>
      </c>
      <c r="C20" s="8" t="s">
        <v>103</v>
      </c>
      <c r="D20" s="16"/>
      <c r="E20" s="16">
        <v>3</v>
      </c>
      <c r="F20" s="5"/>
      <c r="G20" s="5"/>
      <c r="H20" s="5"/>
      <c r="I20" s="24"/>
      <c r="J20" s="5"/>
      <c r="K20" s="5"/>
      <c r="L20" s="5"/>
      <c r="M20" s="5"/>
      <c r="N20" s="5"/>
      <c r="O20" s="5"/>
      <c r="P20" s="5"/>
      <c r="Q20" s="5"/>
      <c r="R20" s="5"/>
    </row>
    <row r="21" spans="1:18" s="3" customFormat="1" x14ac:dyDescent="0.25">
      <c r="A21" s="13" t="s">
        <v>112</v>
      </c>
      <c r="B21" s="15" t="s">
        <v>102</v>
      </c>
      <c r="C21" s="8" t="s">
        <v>103</v>
      </c>
      <c r="D21" s="16"/>
      <c r="E21" s="16">
        <v>2</v>
      </c>
      <c r="F21" s="5"/>
      <c r="G21" s="5"/>
      <c r="H21" s="5"/>
      <c r="I21" s="24"/>
      <c r="J21" s="5"/>
      <c r="K21" s="5"/>
      <c r="L21" s="5"/>
      <c r="M21" s="5"/>
      <c r="N21" s="5"/>
      <c r="O21" s="5"/>
      <c r="P21" s="5"/>
      <c r="Q21" s="5"/>
      <c r="R21" s="5"/>
    </row>
    <row r="22" spans="1:18" s="3" customFormat="1" x14ac:dyDescent="0.25">
      <c r="A22" s="13" t="s">
        <v>113</v>
      </c>
      <c r="B22" s="15" t="s">
        <v>119</v>
      </c>
      <c r="C22" s="8" t="s">
        <v>103</v>
      </c>
      <c r="D22" s="16"/>
      <c r="E22" s="16">
        <v>2</v>
      </c>
      <c r="F22" s="5"/>
      <c r="G22" s="5"/>
      <c r="H22" s="5"/>
      <c r="I22" s="5"/>
      <c r="J22" s="24"/>
      <c r="K22" s="5"/>
      <c r="L22" s="5"/>
      <c r="M22" s="5"/>
      <c r="N22" s="5"/>
      <c r="O22" s="5"/>
      <c r="P22" s="5"/>
      <c r="Q22" s="5"/>
      <c r="R22" s="5"/>
    </row>
    <row r="23" spans="1:18" s="3" customFormat="1" x14ac:dyDescent="0.25">
      <c r="A23" s="13" t="s">
        <v>114</v>
      </c>
      <c r="B23" s="15" t="s">
        <v>120</v>
      </c>
      <c r="C23" s="8" t="s">
        <v>103</v>
      </c>
      <c r="D23" s="16"/>
      <c r="E23" s="16">
        <v>2</v>
      </c>
      <c r="F23" s="5"/>
      <c r="G23" s="5"/>
      <c r="H23" s="5"/>
      <c r="I23" s="5"/>
      <c r="J23" s="24"/>
      <c r="K23" s="5"/>
      <c r="L23" s="5"/>
      <c r="M23" s="5"/>
      <c r="N23" s="5"/>
      <c r="O23" s="5"/>
      <c r="P23" s="5"/>
      <c r="Q23" s="5"/>
      <c r="R23" s="5"/>
    </row>
    <row r="24" spans="1:18" s="3" customFormat="1" x14ac:dyDescent="0.25">
      <c r="A24" s="13" t="s">
        <v>118</v>
      </c>
      <c r="B24" s="15" t="s">
        <v>115</v>
      </c>
      <c r="C24" s="8" t="s">
        <v>103</v>
      </c>
      <c r="D24" s="16"/>
      <c r="E24" s="16">
        <v>1</v>
      </c>
      <c r="F24" s="5"/>
      <c r="G24" s="5"/>
      <c r="H24" s="5"/>
      <c r="I24" s="5"/>
      <c r="J24" s="24"/>
      <c r="K24" s="5"/>
      <c r="L24" s="5"/>
      <c r="M24" s="5"/>
      <c r="N24" s="5"/>
      <c r="O24" s="5"/>
      <c r="P24" s="5"/>
      <c r="Q24" s="5"/>
      <c r="R24" s="5"/>
    </row>
    <row r="25" spans="1:18" s="3" customFormat="1" x14ac:dyDescent="0.25">
      <c r="A25" s="33" t="s">
        <v>59</v>
      </c>
      <c r="B25" s="34" t="s">
        <v>104</v>
      </c>
      <c r="C25" s="35"/>
      <c r="D25" s="36">
        <v>4</v>
      </c>
      <c r="E25" s="36">
        <f>SUM(E26:E29)</f>
        <v>5</v>
      </c>
      <c r="F25" s="5"/>
      <c r="G25" s="5"/>
      <c r="H25" s="35"/>
      <c r="I25" s="5"/>
      <c r="J25" s="5"/>
      <c r="K25" s="5"/>
      <c r="L25" s="5"/>
      <c r="M25" s="5"/>
      <c r="O25" s="5"/>
      <c r="Q25" s="5"/>
      <c r="R25" s="5"/>
    </row>
    <row r="26" spans="1:18" s="3" customFormat="1" x14ac:dyDescent="0.25">
      <c r="A26" s="13" t="s">
        <v>60</v>
      </c>
      <c r="B26" s="19" t="s">
        <v>107</v>
      </c>
      <c r="C26" s="8" t="s">
        <v>90</v>
      </c>
      <c r="D26" s="9"/>
      <c r="E26" s="9">
        <v>1</v>
      </c>
      <c r="F26" s="5"/>
      <c r="G26" s="5"/>
      <c r="H26" s="24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s="3" customFormat="1" x14ac:dyDescent="0.25">
      <c r="A27" s="13" t="s">
        <v>61</v>
      </c>
      <c r="B27" s="14" t="s">
        <v>108</v>
      </c>
      <c r="C27" s="8" t="s">
        <v>90</v>
      </c>
      <c r="D27" s="9"/>
      <c r="E27" s="9">
        <v>1</v>
      </c>
      <c r="F27" s="5"/>
      <c r="G27" s="5"/>
      <c r="H27" s="24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s="3" customFormat="1" x14ac:dyDescent="0.25">
      <c r="A28" s="13" t="s">
        <v>62</v>
      </c>
      <c r="B28" s="14" t="s">
        <v>110</v>
      </c>
      <c r="C28" s="8" t="s">
        <v>90</v>
      </c>
      <c r="D28" s="9"/>
      <c r="E28" s="9">
        <v>1</v>
      </c>
      <c r="F28" s="5"/>
      <c r="G28" s="5"/>
      <c r="H28" s="24"/>
      <c r="I28" s="5"/>
      <c r="J28" s="5"/>
      <c r="K28" s="5"/>
      <c r="L28" s="5"/>
      <c r="M28" s="5"/>
      <c r="N28" s="5"/>
      <c r="O28" s="5"/>
      <c r="P28" s="27"/>
      <c r="Q28" s="5"/>
      <c r="R28" s="5"/>
    </row>
    <row r="29" spans="1:18" s="3" customFormat="1" x14ac:dyDescent="0.25">
      <c r="A29" s="13" t="s">
        <v>109</v>
      </c>
      <c r="B29" s="14" t="s">
        <v>111</v>
      </c>
      <c r="C29" s="8" t="s">
        <v>90</v>
      </c>
      <c r="D29" s="9"/>
      <c r="E29" s="9">
        <v>2</v>
      </c>
      <c r="F29" s="5"/>
      <c r="G29" s="5"/>
      <c r="H29" s="24"/>
      <c r="I29" s="5"/>
      <c r="J29" s="5"/>
      <c r="K29" s="5"/>
      <c r="L29" s="5"/>
      <c r="M29" s="5"/>
      <c r="N29" s="5"/>
      <c r="O29" s="5"/>
      <c r="P29" s="27"/>
      <c r="Q29" s="5"/>
      <c r="R29" s="5"/>
    </row>
    <row r="30" spans="1:18" s="3" customFormat="1" x14ac:dyDescent="0.25">
      <c r="A30" s="33" t="s">
        <v>54</v>
      </c>
      <c r="B30" s="34" t="s">
        <v>63</v>
      </c>
      <c r="C30" s="35"/>
      <c r="D30" s="36">
        <v>10</v>
      </c>
      <c r="E30" s="36">
        <f>SUM(E31:E34)</f>
        <v>14</v>
      </c>
      <c r="F30" s="5"/>
      <c r="G30" s="5"/>
      <c r="H30" s="5"/>
      <c r="I30" s="35"/>
      <c r="J30" s="35"/>
      <c r="K30" s="5"/>
      <c r="L30" s="5"/>
      <c r="M30" s="5"/>
      <c r="N30" s="5"/>
      <c r="O30" s="5"/>
      <c r="P30" s="5"/>
      <c r="Q30" s="5"/>
      <c r="R30" s="5"/>
    </row>
    <row r="31" spans="1:18" s="3" customFormat="1" x14ac:dyDescent="0.25">
      <c r="A31" s="41" t="s">
        <v>55</v>
      </c>
      <c r="B31" s="42" t="s">
        <v>105</v>
      </c>
      <c r="C31" s="43" t="s">
        <v>90</v>
      </c>
      <c r="D31" s="44"/>
      <c r="E31" s="44">
        <v>2</v>
      </c>
      <c r="F31" s="5"/>
      <c r="G31" s="5"/>
      <c r="H31" s="5"/>
      <c r="I31" s="12"/>
      <c r="J31" s="5"/>
      <c r="K31" s="5"/>
      <c r="L31" s="5"/>
      <c r="M31" s="5"/>
      <c r="N31" s="5"/>
      <c r="O31" s="5"/>
      <c r="P31" s="5"/>
      <c r="Q31" s="5"/>
      <c r="R31" s="5"/>
    </row>
    <row r="32" spans="1:18" s="3" customFormat="1" x14ac:dyDescent="0.25">
      <c r="A32" s="13" t="s">
        <v>56</v>
      </c>
      <c r="B32" s="14" t="s">
        <v>106</v>
      </c>
      <c r="C32" s="8" t="s">
        <v>92</v>
      </c>
      <c r="D32" s="9"/>
      <c r="E32" s="18">
        <v>4</v>
      </c>
      <c r="F32" s="5"/>
      <c r="G32" s="5"/>
      <c r="H32" s="5"/>
      <c r="I32" s="24"/>
      <c r="J32" s="5"/>
      <c r="K32" s="5"/>
      <c r="L32" s="5"/>
      <c r="M32" s="5"/>
      <c r="N32" s="5"/>
      <c r="O32" s="5"/>
      <c r="P32" s="5"/>
      <c r="Q32" s="5"/>
      <c r="R32" s="5"/>
    </row>
    <row r="33" spans="1:18" s="3" customFormat="1" x14ac:dyDescent="0.25">
      <c r="A33" s="13" t="s">
        <v>57</v>
      </c>
      <c r="B33" s="14" t="s">
        <v>64</v>
      </c>
      <c r="C33" s="8" t="s">
        <v>90</v>
      </c>
      <c r="D33" s="18"/>
      <c r="E33" s="18">
        <v>3</v>
      </c>
      <c r="F33" s="5"/>
      <c r="G33" s="5"/>
      <c r="H33" s="5"/>
      <c r="I33" s="24"/>
      <c r="J33" s="5"/>
      <c r="K33" s="5"/>
      <c r="L33" s="5"/>
      <c r="M33" s="5"/>
      <c r="N33" s="5"/>
      <c r="O33" s="5"/>
      <c r="P33" s="5"/>
      <c r="Q33" s="5"/>
      <c r="R33" s="5"/>
    </row>
    <row r="34" spans="1:18" s="3" customFormat="1" x14ac:dyDescent="0.25">
      <c r="A34" s="13" t="s">
        <v>58</v>
      </c>
      <c r="B34" s="14" t="s">
        <v>116</v>
      </c>
      <c r="C34" s="8" t="s">
        <v>90</v>
      </c>
      <c r="D34" s="18"/>
      <c r="E34" s="18">
        <v>5</v>
      </c>
      <c r="F34" s="5"/>
      <c r="G34" s="5"/>
      <c r="H34" s="5"/>
      <c r="I34" s="5"/>
      <c r="J34" s="24"/>
      <c r="K34" s="5"/>
      <c r="L34" s="5"/>
      <c r="M34" s="5"/>
      <c r="N34" s="5"/>
      <c r="O34" s="5"/>
      <c r="P34" s="5"/>
      <c r="Q34" s="5"/>
      <c r="R34" s="5"/>
    </row>
    <row r="35" spans="1:18" s="3" customFormat="1" x14ac:dyDescent="0.25">
      <c r="A35" s="46" t="s">
        <v>122</v>
      </c>
      <c r="B35" s="47"/>
      <c r="C35" s="48"/>
      <c r="D35" s="2">
        <f>SUM(D36,D41)</f>
        <v>20</v>
      </c>
      <c r="E35" s="2">
        <f>E36+E41</f>
        <v>50</v>
      </c>
      <c r="F35" s="26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spans="1:18" s="3" customFormat="1" x14ac:dyDescent="0.25">
      <c r="A36" s="28" t="s">
        <v>65</v>
      </c>
      <c r="B36" s="29" t="s">
        <v>66</v>
      </c>
      <c r="C36" s="30"/>
      <c r="D36" s="31">
        <v>15</v>
      </c>
      <c r="E36" s="31">
        <f>SUM(E37:E40)</f>
        <v>45</v>
      </c>
      <c r="F36" s="5"/>
      <c r="G36" s="5"/>
      <c r="H36" s="5"/>
      <c r="I36" s="5"/>
      <c r="J36" s="5"/>
      <c r="K36" s="4"/>
      <c r="L36" s="4"/>
      <c r="M36" s="4"/>
      <c r="N36" s="5"/>
      <c r="O36" s="5"/>
      <c r="P36" s="20"/>
      <c r="Q36" s="20"/>
      <c r="R36" s="20"/>
    </row>
    <row r="37" spans="1:18" s="3" customFormat="1" x14ac:dyDescent="0.25">
      <c r="A37" s="6" t="s">
        <v>67</v>
      </c>
      <c r="B37" s="14" t="s">
        <v>68</v>
      </c>
      <c r="C37" s="8" t="s">
        <v>117</v>
      </c>
      <c r="D37" s="9"/>
      <c r="E37" s="9">
        <v>5</v>
      </c>
      <c r="F37" s="5"/>
      <c r="G37" s="5"/>
      <c r="H37" s="5"/>
      <c r="I37" s="5"/>
      <c r="J37" s="5"/>
      <c r="K37" s="24"/>
      <c r="L37" s="20"/>
      <c r="M37" s="5"/>
      <c r="N37" s="5"/>
      <c r="O37" s="5"/>
      <c r="P37" s="20"/>
      <c r="Q37" s="20"/>
      <c r="R37" s="20"/>
    </row>
    <row r="38" spans="1:18" s="3" customFormat="1" x14ac:dyDescent="0.25">
      <c r="A38" s="6" t="s">
        <v>69</v>
      </c>
      <c r="B38" s="7" t="s">
        <v>70</v>
      </c>
      <c r="C38" s="8" t="s">
        <v>71</v>
      </c>
      <c r="D38" s="9"/>
      <c r="E38" s="9">
        <v>10</v>
      </c>
      <c r="F38" s="5"/>
      <c r="G38" s="5"/>
      <c r="H38" s="5"/>
      <c r="I38" s="5"/>
      <c r="J38" s="5"/>
      <c r="K38" s="24"/>
      <c r="L38" s="20"/>
      <c r="M38" s="5"/>
      <c r="N38" s="5"/>
      <c r="O38" s="5"/>
      <c r="P38" s="20"/>
      <c r="Q38" s="20"/>
      <c r="R38" s="20"/>
    </row>
    <row r="39" spans="1:18" s="3" customFormat="1" x14ac:dyDescent="0.25">
      <c r="A39" s="6" t="s">
        <v>72</v>
      </c>
      <c r="B39" s="7" t="s">
        <v>73</v>
      </c>
      <c r="C39" s="8" t="s">
        <v>74</v>
      </c>
      <c r="D39" s="9"/>
      <c r="E39" s="9">
        <v>0</v>
      </c>
      <c r="F39" s="5"/>
      <c r="G39" s="5"/>
      <c r="H39" s="5"/>
      <c r="I39" s="5"/>
      <c r="J39" s="5"/>
      <c r="K39" s="5"/>
      <c r="L39" s="24"/>
      <c r="M39" s="24"/>
      <c r="N39" s="5"/>
      <c r="O39" s="5"/>
      <c r="P39" s="20"/>
      <c r="Q39" s="20"/>
      <c r="R39" s="20"/>
    </row>
    <row r="40" spans="1:18" s="3" customFormat="1" x14ac:dyDescent="0.25">
      <c r="A40" s="6" t="s">
        <v>75</v>
      </c>
      <c r="B40" s="7" t="s">
        <v>70</v>
      </c>
      <c r="C40" s="8" t="s">
        <v>71</v>
      </c>
      <c r="D40" s="9"/>
      <c r="E40" s="9">
        <v>30</v>
      </c>
      <c r="F40" s="5"/>
      <c r="G40" s="5"/>
      <c r="H40" s="5"/>
      <c r="I40" s="5"/>
      <c r="J40" s="5"/>
      <c r="K40" s="5"/>
      <c r="L40" s="24"/>
      <c r="M40" s="24"/>
      <c r="N40" s="5"/>
      <c r="O40" s="5"/>
      <c r="P40" s="20"/>
      <c r="Q40" s="20"/>
      <c r="R40" s="20"/>
    </row>
    <row r="41" spans="1:18" s="3" customFormat="1" x14ac:dyDescent="0.25">
      <c r="A41" s="28" t="s">
        <v>76</v>
      </c>
      <c r="B41" s="29" t="s">
        <v>77</v>
      </c>
      <c r="C41" s="30"/>
      <c r="D41" s="31">
        <v>5</v>
      </c>
      <c r="E41" s="31">
        <f>SUM(E42:E44)</f>
        <v>5</v>
      </c>
      <c r="F41" s="5"/>
      <c r="G41" s="5"/>
      <c r="H41" s="5"/>
      <c r="I41" s="5"/>
      <c r="J41" s="5"/>
      <c r="K41" s="5"/>
      <c r="L41" s="20"/>
      <c r="M41" s="5"/>
      <c r="N41" s="4"/>
      <c r="O41" s="5"/>
      <c r="P41" s="5"/>
      <c r="Q41" s="5"/>
      <c r="R41" s="5"/>
    </row>
    <row r="42" spans="1:18" s="3" customFormat="1" x14ac:dyDescent="0.25">
      <c r="A42" s="6" t="s">
        <v>78</v>
      </c>
      <c r="B42" s="7" t="s">
        <v>79</v>
      </c>
      <c r="C42" s="8" t="s">
        <v>117</v>
      </c>
      <c r="D42" s="9"/>
      <c r="E42" s="9">
        <v>2</v>
      </c>
      <c r="F42" s="5"/>
      <c r="G42" s="5"/>
      <c r="H42" s="5"/>
      <c r="I42" s="5"/>
      <c r="J42" s="5"/>
      <c r="K42" s="5"/>
      <c r="L42" s="20"/>
      <c r="M42" s="5"/>
      <c r="N42" s="24"/>
      <c r="O42" s="5"/>
      <c r="P42" s="20"/>
      <c r="Q42" s="20"/>
      <c r="R42" s="20"/>
    </row>
    <row r="43" spans="1:18" s="3" customFormat="1" x14ac:dyDescent="0.25">
      <c r="A43" s="6" t="s">
        <v>80</v>
      </c>
      <c r="B43" s="7" t="s">
        <v>81</v>
      </c>
      <c r="C43" s="8" t="s">
        <v>117</v>
      </c>
      <c r="D43" s="9"/>
      <c r="E43" s="9">
        <v>2</v>
      </c>
      <c r="F43" s="5"/>
      <c r="G43" s="5"/>
      <c r="H43" s="5"/>
      <c r="I43" s="5"/>
      <c r="J43" s="5"/>
      <c r="K43" s="5"/>
      <c r="L43" s="20"/>
      <c r="M43" s="5"/>
      <c r="N43" s="24"/>
      <c r="O43" s="5"/>
      <c r="P43" s="20"/>
      <c r="Q43" s="20"/>
      <c r="R43" s="20"/>
    </row>
    <row r="44" spans="1:18" s="3" customFormat="1" x14ac:dyDescent="0.25">
      <c r="A44" s="6" t="s">
        <v>82</v>
      </c>
      <c r="B44" s="7" t="s">
        <v>83</v>
      </c>
      <c r="C44" s="8" t="s">
        <v>117</v>
      </c>
      <c r="D44" s="9"/>
      <c r="E44" s="9">
        <v>1</v>
      </c>
      <c r="F44" s="5"/>
      <c r="G44" s="5"/>
      <c r="H44" s="5"/>
      <c r="I44" s="5"/>
      <c r="J44" s="5"/>
      <c r="K44" s="5"/>
      <c r="L44" s="20"/>
      <c r="M44" s="5"/>
      <c r="N44" s="24"/>
      <c r="O44" s="5"/>
      <c r="P44" s="20"/>
      <c r="Q44" s="20"/>
      <c r="R44" s="20"/>
    </row>
    <row r="46" spans="1:18" x14ac:dyDescent="0.25">
      <c r="A46" s="21" t="s">
        <v>84</v>
      </c>
    </row>
    <row r="47" spans="1:18" x14ac:dyDescent="0.25">
      <c r="A47" s="12"/>
      <c r="B47" s="23" t="s">
        <v>85</v>
      </c>
    </row>
    <row r="48" spans="1:18" x14ac:dyDescent="0.25">
      <c r="A48" s="11"/>
      <c r="B48" s="23" t="s">
        <v>86</v>
      </c>
    </row>
    <row r="49" spans="1:2" x14ac:dyDescent="0.25">
      <c r="A49" s="24"/>
      <c r="B49" s="23" t="s">
        <v>87</v>
      </c>
    </row>
    <row r="50" spans="1:2" x14ac:dyDescent="0.25">
      <c r="A50" s="25"/>
      <c r="B50" s="23" t="s">
        <v>88</v>
      </c>
    </row>
  </sheetData>
  <mergeCells count="12">
    <mergeCell ref="A35:C35"/>
    <mergeCell ref="G35:R35"/>
    <mergeCell ref="K1:N1"/>
    <mergeCell ref="O1:R1"/>
    <mergeCell ref="A3:C3"/>
    <mergeCell ref="G3:R3"/>
    <mergeCell ref="A1:A2"/>
    <mergeCell ref="B1:B2"/>
    <mergeCell ref="C1:C2"/>
    <mergeCell ref="D1:D2"/>
    <mergeCell ref="E1:E2"/>
    <mergeCell ref="G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"/>
  <sheetViews>
    <sheetView zoomScaleNormal="100" workbookViewId="0">
      <pane xSplit="5" ySplit="2" topLeftCell="F15" activePane="bottomRight" state="frozen"/>
      <selection pane="topRight" activeCell="F1" sqref="F1"/>
      <selection pane="bottomLeft" activeCell="A3" sqref="A3"/>
      <selection pane="bottomRight" activeCell="L46" sqref="L46"/>
    </sheetView>
  </sheetViews>
  <sheetFormatPr defaultRowHeight="15.75" x14ac:dyDescent="0.25"/>
  <cols>
    <col min="1" max="1" width="12.875" style="1" bestFit="1" customWidth="1"/>
    <col min="2" max="2" width="19.5" style="22" customWidth="1"/>
    <col min="3" max="3" width="12.625" style="1" customWidth="1"/>
    <col min="4" max="4" width="6.75" style="1" bestFit="1" customWidth="1"/>
    <col min="5" max="5" width="5.75" style="1" bestFit="1" customWidth="1"/>
    <col min="6" max="6" width="9.75" style="1" customWidth="1"/>
    <col min="7" max="10" width="10" style="1" customWidth="1"/>
    <col min="11" max="11" width="10.625" style="1" customWidth="1"/>
    <col min="12" max="15" width="9.5" style="1" customWidth="1"/>
    <col min="16" max="23" width="5.625" style="1" bestFit="1" customWidth="1"/>
    <col min="24" max="16384" width="9" style="1"/>
  </cols>
  <sheetData>
    <row r="1" spans="1:23" s="39" customFormat="1" x14ac:dyDescent="0.25">
      <c r="A1" s="54" t="s">
        <v>0</v>
      </c>
      <c r="B1" s="55" t="s">
        <v>1</v>
      </c>
      <c r="C1" s="56" t="s">
        <v>123</v>
      </c>
      <c r="D1" s="57" t="s">
        <v>2</v>
      </c>
      <c r="E1" s="55" t="s">
        <v>3</v>
      </c>
      <c r="F1" s="38" t="s">
        <v>5</v>
      </c>
      <c r="G1" s="52" t="s">
        <v>6</v>
      </c>
      <c r="H1" s="52"/>
      <c r="I1" s="52"/>
      <c r="J1" s="52"/>
      <c r="K1" s="50" t="s">
        <v>7</v>
      </c>
      <c r="L1" s="51"/>
      <c r="M1" s="51"/>
      <c r="N1" s="51"/>
      <c r="O1" s="61"/>
      <c r="P1" s="50" t="s">
        <v>8</v>
      </c>
      <c r="Q1" s="51"/>
      <c r="R1" s="51"/>
      <c r="S1" s="61"/>
      <c r="T1" s="50" t="s">
        <v>9</v>
      </c>
      <c r="U1" s="51"/>
      <c r="V1" s="51"/>
      <c r="W1" s="61"/>
    </row>
    <row r="2" spans="1:23" s="39" customFormat="1" x14ac:dyDescent="0.25">
      <c r="A2" s="54"/>
      <c r="B2" s="55"/>
      <c r="C2" s="56"/>
      <c r="D2" s="58"/>
      <c r="E2" s="56"/>
      <c r="F2" s="40" t="s">
        <v>146</v>
      </c>
      <c r="G2" s="40" t="s">
        <v>17</v>
      </c>
      <c r="H2" s="40" t="s">
        <v>18</v>
      </c>
      <c r="I2" s="40" t="s">
        <v>19</v>
      </c>
      <c r="J2" s="40" t="s">
        <v>20</v>
      </c>
      <c r="K2" s="40" t="s">
        <v>21</v>
      </c>
      <c r="L2" s="40" t="s">
        <v>22</v>
      </c>
      <c r="M2" s="40" t="s">
        <v>23</v>
      </c>
      <c r="N2" s="40" t="s">
        <v>24</v>
      </c>
      <c r="O2" s="40" t="s">
        <v>25</v>
      </c>
      <c r="P2" s="40" t="s">
        <v>26</v>
      </c>
      <c r="Q2" s="40" t="s">
        <v>27</v>
      </c>
      <c r="R2" s="40" t="s">
        <v>28</v>
      </c>
      <c r="S2" s="40" t="s">
        <v>29</v>
      </c>
      <c r="T2" s="40" t="s">
        <v>30</v>
      </c>
      <c r="U2" s="40" t="s">
        <v>31</v>
      </c>
      <c r="V2" s="40" t="s">
        <v>149</v>
      </c>
      <c r="W2" s="40" t="s">
        <v>150</v>
      </c>
    </row>
    <row r="3" spans="1:23" s="3" customFormat="1" x14ac:dyDescent="0.25">
      <c r="A3" s="53" t="s">
        <v>157</v>
      </c>
      <c r="B3" s="53"/>
      <c r="C3" s="53"/>
      <c r="D3" s="2">
        <f>SUM(D4,D8,D11)</f>
        <v>25</v>
      </c>
      <c r="E3" s="2">
        <f>SUM(E4,E8,E11)</f>
        <v>38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</row>
    <row r="4" spans="1:23" s="3" customFormat="1" x14ac:dyDescent="0.25">
      <c r="A4" s="28">
        <v>1</v>
      </c>
      <c r="B4" s="29" t="s">
        <v>32</v>
      </c>
      <c r="C4" s="30"/>
      <c r="D4" s="31">
        <v>5</v>
      </c>
      <c r="E4" s="31">
        <f>SUM(E5:E7)</f>
        <v>5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s="3" customFormat="1" x14ac:dyDescent="0.25">
      <c r="A5" s="6" t="s">
        <v>33</v>
      </c>
      <c r="B5" s="7" t="s">
        <v>34</v>
      </c>
      <c r="C5" s="8" t="s">
        <v>90</v>
      </c>
      <c r="D5" s="9"/>
      <c r="E5" s="9">
        <v>1</v>
      </c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s="3" customFormat="1" x14ac:dyDescent="0.25">
      <c r="A6" s="6" t="s">
        <v>35</v>
      </c>
      <c r="B6" s="7" t="s">
        <v>36</v>
      </c>
      <c r="C6" s="8" t="s">
        <v>90</v>
      </c>
      <c r="D6" s="9"/>
      <c r="E6" s="9">
        <v>3</v>
      </c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s="3" customFormat="1" x14ac:dyDescent="0.25">
      <c r="A7" s="6" t="s">
        <v>37</v>
      </c>
      <c r="B7" s="7" t="s">
        <v>38</v>
      </c>
      <c r="C7" s="8" t="s">
        <v>90</v>
      </c>
      <c r="D7" s="9"/>
      <c r="E7" s="9">
        <v>1</v>
      </c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s="3" customFormat="1" x14ac:dyDescent="0.25">
      <c r="A8" s="28" t="s">
        <v>39</v>
      </c>
      <c r="B8" s="29" t="s">
        <v>40</v>
      </c>
      <c r="C8" s="30"/>
      <c r="D8" s="31">
        <v>5</v>
      </c>
      <c r="E8" s="31">
        <f>SUM(E9:E10)</f>
        <v>3</v>
      </c>
      <c r="F8" s="5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s="3" customFormat="1" x14ac:dyDescent="0.25">
      <c r="A9" s="6" t="s">
        <v>41</v>
      </c>
      <c r="B9" s="7" t="s">
        <v>43</v>
      </c>
      <c r="C9" s="8" t="s">
        <v>90</v>
      </c>
      <c r="D9" s="9"/>
      <c r="E9" s="9">
        <v>1</v>
      </c>
      <c r="F9" s="5"/>
      <c r="G9" s="2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s="3" customFormat="1" x14ac:dyDescent="0.25">
      <c r="A10" s="6" t="s">
        <v>42</v>
      </c>
      <c r="B10" s="7" t="s">
        <v>91</v>
      </c>
      <c r="C10" s="8" t="s">
        <v>90</v>
      </c>
      <c r="D10" s="9"/>
      <c r="E10" s="9">
        <v>2</v>
      </c>
      <c r="F10" s="5"/>
      <c r="G10" s="2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s="3" customFormat="1" x14ac:dyDescent="0.25">
      <c r="A11" s="28" t="s">
        <v>44</v>
      </c>
      <c r="B11" s="29" t="s">
        <v>45</v>
      </c>
      <c r="C11" s="28"/>
      <c r="D11" s="32">
        <v>15</v>
      </c>
      <c r="E11" s="31">
        <f>SUM(E21,E12)</f>
        <v>30</v>
      </c>
      <c r="F11" s="5"/>
      <c r="G11" s="5"/>
      <c r="H11" s="4"/>
      <c r="I11" s="4"/>
      <c r="J11" s="4"/>
      <c r="K11" s="4"/>
      <c r="L11" s="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s="3" customFormat="1" x14ac:dyDescent="0.25">
      <c r="A12" s="33" t="s">
        <v>46</v>
      </c>
      <c r="B12" s="34" t="s">
        <v>217</v>
      </c>
      <c r="C12" s="35"/>
      <c r="D12" s="36">
        <v>15</v>
      </c>
      <c r="E12" s="36">
        <f>SUM(E13:E20)</f>
        <v>15</v>
      </c>
      <c r="F12" s="5"/>
      <c r="G12" s="5"/>
      <c r="H12" s="35"/>
      <c r="I12" s="35"/>
      <c r="J12" s="3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s="3" customFormat="1" x14ac:dyDescent="0.2">
      <c r="A13" s="13" t="s">
        <v>48</v>
      </c>
      <c r="B13" s="15" t="s">
        <v>125</v>
      </c>
      <c r="C13" s="8"/>
      <c r="D13" s="16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5"/>
      <c r="U13" s="5"/>
      <c r="V13" s="5"/>
      <c r="W13" s="5"/>
    </row>
    <row r="14" spans="1:23" s="3" customFormat="1" x14ac:dyDescent="0.25">
      <c r="A14" s="13" t="s">
        <v>130</v>
      </c>
      <c r="B14" s="15" t="s">
        <v>143</v>
      </c>
      <c r="C14" s="8" t="s">
        <v>92</v>
      </c>
      <c r="D14" s="16"/>
      <c r="E14" s="16">
        <v>5</v>
      </c>
      <c r="F14" s="5"/>
      <c r="G14" s="5"/>
      <c r="H14" s="2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s="3" customFormat="1" x14ac:dyDescent="0.25">
      <c r="A15" s="13" t="s">
        <v>132</v>
      </c>
      <c r="B15" s="15" t="s">
        <v>140</v>
      </c>
      <c r="C15" s="8" t="s">
        <v>92</v>
      </c>
      <c r="D15" s="16"/>
      <c r="E15" s="16">
        <v>1</v>
      </c>
      <c r="F15" s="5"/>
      <c r="G15" s="5"/>
      <c r="H15" s="5"/>
      <c r="I15" s="2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s="3" customFormat="1" x14ac:dyDescent="0.25">
      <c r="A16" s="13" t="s">
        <v>133</v>
      </c>
      <c r="B16" s="15" t="s">
        <v>154</v>
      </c>
      <c r="C16" s="8" t="s">
        <v>90</v>
      </c>
      <c r="D16" s="16"/>
      <c r="E16" s="16">
        <v>3</v>
      </c>
      <c r="F16" s="5"/>
      <c r="G16" s="5"/>
      <c r="H16" s="5"/>
      <c r="I16" s="2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s="3" customFormat="1" x14ac:dyDescent="0.25">
      <c r="A17" s="13" t="s">
        <v>134</v>
      </c>
      <c r="B17" s="15" t="s">
        <v>145</v>
      </c>
      <c r="C17" s="8" t="s">
        <v>92</v>
      </c>
      <c r="D17" s="16"/>
      <c r="E17" s="16">
        <v>3</v>
      </c>
      <c r="F17" s="5"/>
      <c r="G17" s="5"/>
      <c r="H17" s="5"/>
      <c r="I17" s="5"/>
      <c r="J17" s="2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s="3" customFormat="1" x14ac:dyDescent="0.2">
      <c r="A18" s="13" t="s">
        <v>211</v>
      </c>
      <c r="B18" s="15" t="s">
        <v>142</v>
      </c>
      <c r="C18" s="8"/>
      <c r="D18" s="16"/>
      <c r="E18" s="1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s="3" customFormat="1" x14ac:dyDescent="0.25">
      <c r="A19" s="13" t="s">
        <v>212</v>
      </c>
      <c r="B19" s="15" t="s">
        <v>152</v>
      </c>
      <c r="C19" s="8" t="s">
        <v>92</v>
      </c>
      <c r="D19" s="16"/>
      <c r="E19" s="16">
        <v>1</v>
      </c>
      <c r="F19" s="5"/>
      <c r="G19" s="5"/>
      <c r="H19" s="5"/>
      <c r="I19" s="2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s="3" customFormat="1" x14ac:dyDescent="0.25">
      <c r="A20" s="13" t="s">
        <v>209</v>
      </c>
      <c r="B20" s="15" t="s">
        <v>153</v>
      </c>
      <c r="C20" s="8" t="s">
        <v>92</v>
      </c>
      <c r="D20" s="16"/>
      <c r="E20" s="16">
        <v>2</v>
      </c>
      <c r="F20" s="5"/>
      <c r="G20" s="5"/>
      <c r="H20" s="5"/>
      <c r="I20" s="5"/>
      <c r="J20" s="2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s="3" customFormat="1" x14ac:dyDescent="0.25">
      <c r="A21" s="33" t="s">
        <v>51</v>
      </c>
      <c r="B21" s="34" t="s">
        <v>124</v>
      </c>
      <c r="C21" s="35"/>
      <c r="D21" s="36">
        <v>15</v>
      </c>
      <c r="E21" s="36">
        <f>SUM(E22:E30)</f>
        <v>15</v>
      </c>
      <c r="F21" s="5"/>
      <c r="G21" s="5"/>
      <c r="H21" s="5"/>
      <c r="I21" s="5"/>
      <c r="J21" s="5"/>
      <c r="K21" s="35"/>
      <c r="L21" s="3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s="3" customFormat="1" x14ac:dyDescent="0.2">
      <c r="A22" s="13" t="s">
        <v>52</v>
      </c>
      <c r="B22" s="14" t="s">
        <v>138</v>
      </c>
      <c r="C22" s="8"/>
      <c r="D22" s="9"/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s="3" customFormat="1" x14ac:dyDescent="0.25">
      <c r="A23" s="13" t="s">
        <v>139</v>
      </c>
      <c r="B23" s="14" t="s">
        <v>129</v>
      </c>
      <c r="C23" s="8" t="s">
        <v>92</v>
      </c>
      <c r="D23" s="9"/>
      <c r="E23" s="9">
        <v>4</v>
      </c>
      <c r="F23" s="5"/>
      <c r="G23" s="5"/>
      <c r="H23" s="5"/>
      <c r="I23" s="5"/>
      <c r="J23" s="5"/>
      <c r="K23" s="2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s="3" customFormat="1" x14ac:dyDescent="0.25">
      <c r="A24" s="13" t="s">
        <v>141</v>
      </c>
      <c r="B24" s="14" t="s">
        <v>131</v>
      </c>
      <c r="C24" s="8" t="s">
        <v>92</v>
      </c>
      <c r="D24" s="9"/>
      <c r="E24" s="9">
        <v>1</v>
      </c>
      <c r="F24" s="5"/>
      <c r="G24" s="5"/>
      <c r="H24" s="5"/>
      <c r="I24" s="5"/>
      <c r="J24" s="5"/>
      <c r="K24" s="24"/>
      <c r="L24" s="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s="3" customFormat="1" x14ac:dyDescent="0.25">
      <c r="A25" s="13" t="s">
        <v>144</v>
      </c>
      <c r="B25" s="14" t="s">
        <v>215</v>
      </c>
      <c r="C25" s="8" t="s">
        <v>90</v>
      </c>
      <c r="D25" s="9"/>
      <c r="E25" s="9">
        <v>2</v>
      </c>
      <c r="F25" s="5"/>
      <c r="G25" s="5"/>
      <c r="H25" s="5"/>
      <c r="I25" s="5"/>
      <c r="J25" s="5"/>
      <c r="K25" s="5"/>
      <c r="L25" s="2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s="3" customFormat="1" x14ac:dyDescent="0.25">
      <c r="A26" s="13" t="s">
        <v>155</v>
      </c>
      <c r="B26" s="14" t="s">
        <v>135</v>
      </c>
      <c r="C26" s="8" t="s">
        <v>92</v>
      </c>
      <c r="D26" s="9"/>
      <c r="E26" s="9">
        <v>2</v>
      </c>
      <c r="F26" s="5"/>
      <c r="G26" s="5"/>
      <c r="H26" s="5"/>
      <c r="I26" s="5"/>
      <c r="J26" s="5"/>
      <c r="K26" s="5"/>
      <c r="L26" s="2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s="3" customFormat="1" x14ac:dyDescent="0.25">
      <c r="A27" s="13" t="s">
        <v>213</v>
      </c>
      <c r="B27" s="14" t="s">
        <v>137</v>
      </c>
      <c r="C27" s="8" t="s">
        <v>92</v>
      </c>
      <c r="D27" s="9"/>
      <c r="E27" s="9">
        <v>1</v>
      </c>
      <c r="F27" s="5"/>
      <c r="G27" s="5"/>
      <c r="H27" s="5"/>
      <c r="I27" s="5"/>
      <c r="J27" s="5"/>
      <c r="K27" s="5"/>
      <c r="L27" s="2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s="3" customFormat="1" x14ac:dyDescent="0.2">
      <c r="A28" s="13" t="s">
        <v>53</v>
      </c>
      <c r="B28" s="14" t="s">
        <v>126</v>
      </c>
      <c r="C28" s="8"/>
      <c r="D28" s="9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s="3" customFormat="1" x14ac:dyDescent="0.25">
      <c r="A29" s="13" t="s">
        <v>214</v>
      </c>
      <c r="B29" s="14" t="s">
        <v>127</v>
      </c>
      <c r="C29" s="8" t="s">
        <v>92</v>
      </c>
      <c r="D29" s="9"/>
      <c r="E29" s="9">
        <v>2</v>
      </c>
      <c r="F29" s="5"/>
      <c r="G29" s="5"/>
      <c r="H29" s="5"/>
      <c r="I29" s="5"/>
      <c r="J29" s="5"/>
      <c r="K29" s="5"/>
      <c r="L29" s="2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s="3" customFormat="1" x14ac:dyDescent="0.25">
      <c r="A30" s="13" t="s">
        <v>194</v>
      </c>
      <c r="B30" s="14" t="s">
        <v>128</v>
      </c>
      <c r="C30" s="8" t="s">
        <v>92</v>
      </c>
      <c r="D30" s="9"/>
      <c r="E30" s="9">
        <v>3</v>
      </c>
      <c r="F30" s="5"/>
      <c r="G30" s="5"/>
      <c r="H30" s="5"/>
      <c r="I30" s="5"/>
      <c r="J30" s="5"/>
      <c r="K30" s="5"/>
      <c r="L30" s="2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s="3" customFormat="1" x14ac:dyDescent="0.25">
      <c r="A31" s="46" t="s">
        <v>122</v>
      </c>
      <c r="B31" s="47"/>
      <c r="C31" s="48"/>
      <c r="D31" s="2">
        <f>SUM(D32,D43)</f>
        <v>5</v>
      </c>
      <c r="E31" s="2">
        <f>E32+E43</f>
        <v>7</v>
      </c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</row>
    <row r="32" spans="1:23" s="3" customFormat="1" x14ac:dyDescent="0.25">
      <c r="A32" s="28" t="s">
        <v>65</v>
      </c>
      <c r="B32" s="29" t="s">
        <v>66</v>
      </c>
      <c r="C32" s="30"/>
      <c r="D32" s="31">
        <v>4</v>
      </c>
      <c r="E32" s="31">
        <f>SUM(E34:E37)</f>
        <v>6</v>
      </c>
      <c r="F32" s="5"/>
      <c r="G32" s="5"/>
      <c r="H32" s="20"/>
      <c r="I32" s="20"/>
      <c r="J32" s="4"/>
      <c r="K32" s="4"/>
      <c r="L32" s="4"/>
      <c r="M32" s="4"/>
      <c r="N32" s="20"/>
      <c r="O32" s="20"/>
      <c r="P32" s="20"/>
      <c r="Q32" s="20"/>
      <c r="R32" s="5"/>
      <c r="S32" s="5"/>
      <c r="T32" s="5"/>
      <c r="U32" s="5"/>
      <c r="V32" s="5"/>
      <c r="W32" s="5"/>
    </row>
    <row r="33" spans="1:23" s="3" customFormat="1" x14ac:dyDescent="0.25">
      <c r="A33" s="33" t="s">
        <v>67</v>
      </c>
      <c r="B33" s="34" t="s">
        <v>216</v>
      </c>
      <c r="C33" s="35"/>
      <c r="D33" s="36">
        <v>15</v>
      </c>
      <c r="E33" s="36">
        <f>SUM(E34:E50)</f>
        <v>32</v>
      </c>
      <c r="F33" s="5"/>
      <c r="G33" s="5"/>
      <c r="H33" s="5"/>
      <c r="I33" s="5"/>
      <c r="J33" s="3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s="3" customFormat="1" x14ac:dyDescent="0.25">
      <c r="A34" s="6" t="s">
        <v>218</v>
      </c>
      <c r="B34" s="14" t="s">
        <v>68</v>
      </c>
      <c r="C34" s="8" t="s">
        <v>117</v>
      </c>
      <c r="D34" s="9"/>
      <c r="E34" s="9">
        <v>1</v>
      </c>
      <c r="F34" s="5"/>
      <c r="G34" s="5"/>
      <c r="H34" s="20"/>
      <c r="I34" s="20"/>
      <c r="J34" s="24"/>
      <c r="K34" s="5"/>
      <c r="L34" s="20"/>
      <c r="M34" s="20"/>
      <c r="N34" s="20"/>
      <c r="O34" s="20"/>
      <c r="P34" s="20"/>
      <c r="Q34" s="20"/>
      <c r="R34" s="5"/>
      <c r="S34" s="5"/>
      <c r="T34" s="5"/>
      <c r="U34" s="5"/>
      <c r="V34" s="5"/>
      <c r="W34" s="5"/>
    </row>
    <row r="35" spans="1:23" s="3" customFormat="1" x14ac:dyDescent="0.25">
      <c r="A35" s="6" t="s">
        <v>219</v>
      </c>
      <c r="B35" s="7" t="s">
        <v>70</v>
      </c>
      <c r="C35" s="8" t="s">
        <v>92</v>
      </c>
      <c r="D35" s="9"/>
      <c r="E35" s="9">
        <v>2</v>
      </c>
      <c r="F35" s="5"/>
      <c r="G35" s="5"/>
      <c r="H35" s="20"/>
      <c r="I35" s="20"/>
      <c r="J35" s="24"/>
      <c r="K35" s="5"/>
      <c r="L35" s="20"/>
      <c r="M35" s="20"/>
      <c r="N35" s="20"/>
      <c r="O35" s="20"/>
      <c r="P35" s="20"/>
      <c r="Q35" s="20"/>
      <c r="R35" s="5"/>
      <c r="S35" s="5"/>
      <c r="T35" s="5"/>
      <c r="U35" s="5"/>
      <c r="V35" s="5"/>
      <c r="W35" s="5"/>
    </row>
    <row r="36" spans="1:23" s="3" customFormat="1" x14ac:dyDescent="0.25">
      <c r="A36" s="6" t="s">
        <v>220</v>
      </c>
      <c r="B36" s="7" t="s">
        <v>73</v>
      </c>
      <c r="C36" s="8" t="s">
        <v>74</v>
      </c>
      <c r="D36" s="9"/>
      <c r="E36" s="9">
        <v>1</v>
      </c>
      <c r="F36" s="5"/>
      <c r="G36" s="5"/>
      <c r="H36" s="20"/>
      <c r="I36" s="20"/>
      <c r="J36" s="24"/>
      <c r="K36" s="5"/>
      <c r="L36" s="20"/>
      <c r="M36" s="20"/>
      <c r="N36" s="20"/>
      <c r="O36" s="20"/>
      <c r="P36" s="20"/>
      <c r="Q36" s="20"/>
      <c r="R36" s="5"/>
      <c r="S36" s="5"/>
      <c r="T36" s="5"/>
      <c r="U36" s="5"/>
      <c r="V36" s="5"/>
      <c r="W36" s="5"/>
    </row>
    <row r="37" spans="1:23" s="3" customFormat="1" x14ac:dyDescent="0.25">
      <c r="A37" s="6" t="s">
        <v>221</v>
      </c>
      <c r="B37" s="7" t="s">
        <v>70</v>
      </c>
      <c r="C37" s="8" t="s">
        <v>92</v>
      </c>
      <c r="D37" s="9"/>
      <c r="E37" s="9">
        <v>2</v>
      </c>
      <c r="F37" s="5"/>
      <c r="G37" s="5"/>
      <c r="H37" s="20"/>
      <c r="I37" s="20"/>
      <c r="J37" s="24"/>
      <c r="K37" s="5"/>
      <c r="L37" s="20"/>
      <c r="M37" s="20"/>
      <c r="N37" s="20"/>
      <c r="O37" s="20"/>
      <c r="P37" s="20"/>
      <c r="Q37" s="20"/>
      <c r="R37" s="5"/>
      <c r="S37" s="5"/>
      <c r="T37" s="5"/>
      <c r="U37" s="5"/>
      <c r="V37" s="5"/>
      <c r="W37" s="5"/>
    </row>
    <row r="38" spans="1:23" s="3" customFormat="1" x14ac:dyDescent="0.25">
      <c r="A38" s="33" t="s">
        <v>69</v>
      </c>
      <c r="B38" s="34" t="s">
        <v>222</v>
      </c>
      <c r="C38" s="35"/>
      <c r="D38" s="36">
        <v>15</v>
      </c>
      <c r="E38" s="36">
        <f>SUM(E39:E55)</f>
        <v>13</v>
      </c>
      <c r="F38" s="5"/>
      <c r="G38" s="5"/>
      <c r="H38" s="5"/>
      <c r="I38" s="5"/>
      <c r="J38" s="5"/>
      <c r="K38" s="5"/>
      <c r="L38" s="5"/>
      <c r="M38" s="3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s="3" customFormat="1" x14ac:dyDescent="0.25">
      <c r="A39" s="6" t="s">
        <v>223</v>
      </c>
      <c r="B39" s="14" t="s">
        <v>68</v>
      </c>
      <c r="C39" s="8" t="s">
        <v>117</v>
      </c>
      <c r="D39" s="9"/>
      <c r="E39" s="9">
        <v>1</v>
      </c>
      <c r="F39" s="5"/>
      <c r="G39" s="5"/>
      <c r="H39" s="5"/>
      <c r="I39" s="5"/>
      <c r="J39" s="5"/>
      <c r="K39" s="5"/>
      <c r="L39" s="5"/>
      <c r="M39" s="24"/>
      <c r="N39" s="20"/>
      <c r="O39" s="20"/>
      <c r="P39" s="20"/>
      <c r="Q39" s="20"/>
      <c r="R39" s="5"/>
      <c r="S39" s="5"/>
      <c r="T39" s="5"/>
      <c r="U39" s="5"/>
      <c r="V39" s="5"/>
      <c r="W39" s="5"/>
    </row>
    <row r="40" spans="1:23" s="3" customFormat="1" x14ac:dyDescent="0.25">
      <c r="A40" s="6" t="s">
        <v>224</v>
      </c>
      <c r="B40" s="7" t="s">
        <v>70</v>
      </c>
      <c r="C40" s="8" t="s">
        <v>92</v>
      </c>
      <c r="D40" s="9"/>
      <c r="E40" s="9">
        <v>2</v>
      </c>
      <c r="F40" s="5"/>
      <c r="G40" s="5"/>
      <c r="H40" s="5"/>
      <c r="I40" s="5"/>
      <c r="J40" s="5"/>
      <c r="K40" s="5"/>
      <c r="L40" s="5"/>
      <c r="M40" s="24"/>
      <c r="N40" s="20"/>
      <c r="O40" s="20"/>
      <c r="P40" s="20"/>
      <c r="Q40" s="20"/>
      <c r="R40" s="5"/>
      <c r="S40" s="5"/>
      <c r="T40" s="5"/>
      <c r="U40" s="5"/>
      <c r="V40" s="5"/>
      <c r="W40" s="5"/>
    </row>
    <row r="41" spans="1:23" s="3" customFormat="1" x14ac:dyDescent="0.25">
      <c r="A41" s="6" t="s">
        <v>225</v>
      </c>
      <c r="B41" s="7" t="s">
        <v>73</v>
      </c>
      <c r="C41" s="8" t="s">
        <v>74</v>
      </c>
      <c r="D41" s="9"/>
      <c r="E41" s="9">
        <v>1</v>
      </c>
      <c r="F41" s="5"/>
      <c r="G41" s="5"/>
      <c r="H41" s="5"/>
      <c r="I41" s="5"/>
      <c r="J41" s="5"/>
      <c r="K41" s="5"/>
      <c r="L41" s="5"/>
      <c r="M41" s="24"/>
      <c r="N41" s="20"/>
      <c r="O41" s="20"/>
      <c r="P41" s="20"/>
      <c r="Q41" s="20"/>
      <c r="R41" s="5"/>
      <c r="S41" s="5"/>
      <c r="T41" s="5"/>
      <c r="U41" s="5"/>
      <c r="V41" s="5"/>
      <c r="W41" s="5"/>
    </row>
    <row r="42" spans="1:23" s="3" customFormat="1" x14ac:dyDescent="0.25">
      <c r="A42" s="6" t="s">
        <v>226</v>
      </c>
      <c r="B42" s="7" t="s">
        <v>70</v>
      </c>
      <c r="C42" s="8" t="s">
        <v>92</v>
      </c>
      <c r="D42" s="9"/>
      <c r="E42" s="9">
        <v>2</v>
      </c>
      <c r="F42" s="5"/>
      <c r="G42" s="5"/>
      <c r="H42" s="5"/>
      <c r="I42" s="5"/>
      <c r="J42" s="5"/>
      <c r="K42" s="5"/>
      <c r="L42" s="5"/>
      <c r="M42" s="24"/>
      <c r="N42" s="20"/>
      <c r="O42" s="20"/>
      <c r="P42" s="20"/>
      <c r="Q42" s="20"/>
      <c r="R42" s="5"/>
      <c r="S42" s="5"/>
      <c r="T42" s="5"/>
      <c r="U42" s="5"/>
      <c r="V42" s="5"/>
      <c r="W42" s="5"/>
    </row>
    <row r="43" spans="1:23" s="3" customFormat="1" x14ac:dyDescent="0.25">
      <c r="A43" s="28" t="s">
        <v>76</v>
      </c>
      <c r="B43" s="29" t="s">
        <v>77</v>
      </c>
      <c r="C43" s="30"/>
      <c r="D43" s="31">
        <v>1</v>
      </c>
      <c r="E43" s="31">
        <f>SUM(E45:E46)</f>
        <v>1</v>
      </c>
      <c r="F43" s="5"/>
      <c r="G43" s="5"/>
      <c r="H43" s="5"/>
      <c r="I43" s="5"/>
      <c r="J43" s="4"/>
      <c r="K43" s="4"/>
      <c r="L43" s="4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s="3" customFormat="1" x14ac:dyDescent="0.25">
      <c r="A44" s="33" t="s">
        <v>78</v>
      </c>
      <c r="B44" s="34" t="s">
        <v>227</v>
      </c>
      <c r="C44" s="35"/>
      <c r="D44" s="36">
        <v>15</v>
      </c>
      <c r="E44" s="36">
        <f>SUM(E45:E61)</f>
        <v>3</v>
      </c>
      <c r="F44" s="5"/>
      <c r="G44" s="5"/>
      <c r="H44" s="5"/>
      <c r="I44" s="5"/>
      <c r="J44" s="3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s="3" customFormat="1" x14ac:dyDescent="0.25">
      <c r="A45" s="6" t="s">
        <v>228</v>
      </c>
      <c r="B45" s="7" t="s">
        <v>81</v>
      </c>
      <c r="C45" s="8" t="s">
        <v>117</v>
      </c>
      <c r="D45" s="9"/>
      <c r="E45" s="9">
        <v>1</v>
      </c>
      <c r="F45" s="5"/>
      <c r="G45" s="5"/>
      <c r="H45" s="20"/>
      <c r="I45" s="20"/>
      <c r="J45" s="24"/>
      <c r="K45" s="20"/>
      <c r="L45" s="20"/>
      <c r="M45" s="20"/>
      <c r="N45" s="20"/>
      <c r="O45" s="20"/>
      <c r="P45" s="20"/>
      <c r="Q45" s="20"/>
      <c r="R45" s="5"/>
      <c r="S45" s="5"/>
      <c r="T45" s="5"/>
      <c r="U45" s="5"/>
      <c r="V45" s="5"/>
      <c r="W45" s="5"/>
    </row>
    <row r="46" spans="1:23" s="3" customFormat="1" x14ac:dyDescent="0.25">
      <c r="A46" s="6" t="s">
        <v>229</v>
      </c>
      <c r="B46" s="7" t="s">
        <v>83</v>
      </c>
      <c r="C46" s="8" t="s">
        <v>117</v>
      </c>
      <c r="D46" s="9"/>
      <c r="E46" s="9">
        <v>0</v>
      </c>
      <c r="F46" s="5"/>
      <c r="G46" s="5"/>
      <c r="H46" s="20"/>
      <c r="I46" s="20"/>
      <c r="J46" s="24"/>
      <c r="K46" s="20"/>
      <c r="L46" s="20"/>
      <c r="M46" s="20"/>
      <c r="N46" s="20"/>
      <c r="O46" s="20"/>
      <c r="P46" s="20"/>
      <c r="Q46" s="20"/>
      <c r="R46" s="5"/>
      <c r="S46" s="5"/>
      <c r="T46" s="5"/>
      <c r="U46" s="5"/>
      <c r="V46" s="5"/>
      <c r="W46" s="5"/>
    </row>
    <row r="47" spans="1:23" s="3" customFormat="1" x14ac:dyDescent="0.25">
      <c r="A47" s="33" t="s">
        <v>231</v>
      </c>
      <c r="B47" s="34" t="s">
        <v>233</v>
      </c>
      <c r="C47" s="35"/>
      <c r="D47" s="36">
        <v>15</v>
      </c>
      <c r="E47" s="36">
        <f>SUM(E48:E64)</f>
        <v>1</v>
      </c>
      <c r="F47" s="5"/>
      <c r="G47" s="5"/>
      <c r="H47" s="5"/>
      <c r="I47" s="5"/>
      <c r="J47" s="5"/>
      <c r="K47" s="5"/>
      <c r="L47" s="5"/>
      <c r="M47" s="3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s="3" customFormat="1" x14ac:dyDescent="0.25">
      <c r="A48" s="6" t="s">
        <v>230</v>
      </c>
      <c r="B48" s="7" t="s">
        <v>81</v>
      </c>
      <c r="C48" s="8" t="s">
        <v>117</v>
      </c>
      <c r="D48" s="9"/>
      <c r="E48" s="9">
        <v>1</v>
      </c>
      <c r="F48" s="5"/>
      <c r="G48" s="5"/>
      <c r="H48" s="20"/>
      <c r="I48" s="20"/>
      <c r="J48" s="20"/>
      <c r="K48" s="20"/>
      <c r="L48" s="20"/>
      <c r="M48" s="24"/>
      <c r="N48" s="20"/>
      <c r="O48" s="20"/>
      <c r="P48" s="20"/>
      <c r="Q48" s="20"/>
      <c r="R48" s="5"/>
      <c r="S48" s="5"/>
      <c r="T48" s="5"/>
      <c r="U48" s="5"/>
      <c r="V48" s="5"/>
      <c r="W48" s="5"/>
    </row>
    <row r="49" spans="1:23" s="3" customFormat="1" x14ac:dyDescent="0.25">
      <c r="A49" s="6" t="s">
        <v>232</v>
      </c>
      <c r="B49" s="7" t="s">
        <v>83</v>
      </c>
      <c r="C49" s="8" t="s">
        <v>117</v>
      </c>
      <c r="D49" s="9"/>
      <c r="E49" s="9">
        <v>0</v>
      </c>
      <c r="F49" s="5"/>
      <c r="G49" s="5"/>
      <c r="H49" s="20"/>
      <c r="I49" s="20"/>
      <c r="J49" s="20"/>
      <c r="K49" s="20"/>
      <c r="L49" s="20"/>
      <c r="M49" s="24"/>
      <c r="N49" s="20"/>
      <c r="O49" s="20"/>
      <c r="P49" s="20"/>
      <c r="Q49" s="20"/>
      <c r="R49" s="5"/>
      <c r="S49" s="5"/>
      <c r="T49" s="5"/>
      <c r="U49" s="5"/>
      <c r="V49" s="5"/>
      <c r="W49" s="5"/>
    </row>
    <row r="51" spans="1:23" x14ac:dyDescent="0.25">
      <c r="A51" s="21" t="s">
        <v>84</v>
      </c>
    </row>
    <row r="52" spans="1:23" x14ac:dyDescent="0.25">
      <c r="A52" s="12"/>
      <c r="B52" s="23" t="s">
        <v>85</v>
      </c>
    </row>
    <row r="53" spans="1:23" x14ac:dyDescent="0.25">
      <c r="A53" s="11"/>
      <c r="B53" s="23" t="s">
        <v>86</v>
      </c>
    </row>
    <row r="54" spans="1:23" x14ac:dyDescent="0.25">
      <c r="A54" s="24"/>
      <c r="B54" s="23" t="s">
        <v>87</v>
      </c>
    </row>
    <row r="55" spans="1:23" x14ac:dyDescent="0.25">
      <c r="A55" s="25"/>
      <c r="B55" s="23" t="s">
        <v>88</v>
      </c>
    </row>
  </sheetData>
  <mergeCells count="13">
    <mergeCell ref="A31:C31"/>
    <mergeCell ref="F31:W31"/>
    <mergeCell ref="G1:J1"/>
    <mergeCell ref="K1:O1"/>
    <mergeCell ref="P1:S1"/>
    <mergeCell ref="T1:W1"/>
    <mergeCell ref="A3:C3"/>
    <mergeCell ref="F3:W3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G13" sqref="G13"/>
    </sheetView>
  </sheetViews>
  <sheetFormatPr defaultRowHeight="15.75" x14ac:dyDescent="0.25"/>
  <cols>
    <col min="1" max="1" width="12.875" style="1" bestFit="1" customWidth="1"/>
    <col min="2" max="2" width="36.625" style="22" bestFit="1" customWidth="1"/>
    <col min="3" max="3" width="12.625" style="1" customWidth="1"/>
    <col min="4" max="4" width="6.75" style="1" bestFit="1" customWidth="1"/>
    <col min="5" max="5" width="5.75" style="1" bestFit="1" customWidth="1"/>
    <col min="6" max="20" width="7.75" style="1" customWidth="1"/>
    <col min="21" max="16384" width="9" style="1"/>
  </cols>
  <sheetData>
    <row r="1" spans="1:20" s="39" customFormat="1" x14ac:dyDescent="0.25">
      <c r="A1" s="54" t="s">
        <v>0</v>
      </c>
      <c r="B1" s="55" t="s">
        <v>1</v>
      </c>
      <c r="C1" s="56" t="s">
        <v>123</v>
      </c>
      <c r="D1" s="57" t="s">
        <v>2</v>
      </c>
      <c r="E1" s="55" t="s">
        <v>3</v>
      </c>
      <c r="F1" s="51" t="s">
        <v>156</v>
      </c>
      <c r="G1" s="51"/>
      <c r="H1" s="61"/>
      <c r="I1" s="50" t="s">
        <v>8</v>
      </c>
      <c r="J1" s="51"/>
      <c r="K1" s="51"/>
      <c r="L1" s="61"/>
      <c r="M1" s="50" t="s">
        <v>9</v>
      </c>
      <c r="N1" s="51"/>
      <c r="O1" s="51"/>
      <c r="P1" s="61"/>
      <c r="Q1" s="52" t="s">
        <v>203</v>
      </c>
      <c r="R1" s="52"/>
      <c r="S1" s="52"/>
      <c r="T1" s="52"/>
    </row>
    <row r="2" spans="1:20" s="39" customFormat="1" x14ac:dyDescent="0.25">
      <c r="A2" s="54"/>
      <c r="B2" s="55"/>
      <c r="C2" s="56"/>
      <c r="D2" s="58"/>
      <c r="E2" s="56"/>
      <c r="F2" s="45" t="s">
        <v>23</v>
      </c>
      <c r="G2" s="45" t="s">
        <v>24</v>
      </c>
      <c r="H2" s="45" t="s">
        <v>25</v>
      </c>
      <c r="I2" s="45" t="s">
        <v>26</v>
      </c>
      <c r="J2" s="45" t="s">
        <v>27</v>
      </c>
      <c r="K2" s="45" t="s">
        <v>28</v>
      </c>
      <c r="L2" s="45" t="s">
        <v>29</v>
      </c>
      <c r="M2" s="45" t="s">
        <v>30</v>
      </c>
      <c r="N2" s="45" t="s">
        <v>31</v>
      </c>
      <c r="O2" s="45" t="s">
        <v>149</v>
      </c>
      <c r="P2" s="45" t="s">
        <v>150</v>
      </c>
      <c r="Q2" s="45" t="s">
        <v>204</v>
      </c>
      <c r="R2" s="45" t="s">
        <v>205</v>
      </c>
      <c r="S2" s="45" t="s">
        <v>206</v>
      </c>
      <c r="T2" s="45" t="s">
        <v>207</v>
      </c>
    </row>
    <row r="3" spans="1:20" s="3" customFormat="1" x14ac:dyDescent="0.25">
      <c r="A3" s="53" t="s">
        <v>158</v>
      </c>
      <c r="B3" s="53"/>
      <c r="C3" s="53"/>
      <c r="D3" s="2">
        <f>SUM(D4,D8,D11)</f>
        <v>45</v>
      </c>
      <c r="E3" s="2">
        <f>SUM(E4+E8+E11)</f>
        <v>126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60"/>
      <c r="Q3" s="5"/>
      <c r="R3" s="5"/>
      <c r="S3" s="5"/>
      <c r="T3" s="5"/>
    </row>
    <row r="4" spans="1:20" s="3" customFormat="1" x14ac:dyDescent="0.25">
      <c r="A4" s="28">
        <v>1</v>
      </c>
      <c r="B4" s="29" t="s">
        <v>32</v>
      </c>
      <c r="C4" s="30"/>
      <c r="D4" s="31">
        <v>8</v>
      </c>
      <c r="E4" s="31">
        <f>SUM(E5:E7)</f>
        <v>8</v>
      </c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s="3" customFormat="1" x14ac:dyDescent="0.25">
      <c r="A5" s="6" t="s">
        <v>33</v>
      </c>
      <c r="B5" s="7" t="s">
        <v>34</v>
      </c>
      <c r="C5" s="8" t="s">
        <v>90</v>
      </c>
      <c r="D5" s="9"/>
      <c r="E5" s="9">
        <v>2</v>
      </c>
      <c r="F5" s="10"/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s="3" customFormat="1" x14ac:dyDescent="0.25">
      <c r="A6" s="6" t="s">
        <v>35</v>
      </c>
      <c r="B6" s="7" t="s">
        <v>36</v>
      </c>
      <c r="C6" s="8" t="s">
        <v>90</v>
      </c>
      <c r="D6" s="9"/>
      <c r="E6" s="9">
        <v>3</v>
      </c>
      <c r="F6" s="10"/>
      <c r="G6" s="1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s="3" customFormat="1" x14ac:dyDescent="0.25">
      <c r="A7" s="6" t="s">
        <v>37</v>
      </c>
      <c r="B7" s="7" t="s">
        <v>38</v>
      </c>
      <c r="C7" s="8" t="s">
        <v>90</v>
      </c>
      <c r="D7" s="9"/>
      <c r="E7" s="9">
        <v>3</v>
      </c>
      <c r="F7" s="5"/>
      <c r="G7" s="11"/>
      <c r="H7" s="1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s="3" customFormat="1" x14ac:dyDescent="0.25">
      <c r="A8" s="28" t="s">
        <v>39</v>
      </c>
      <c r="B8" s="29" t="s">
        <v>40</v>
      </c>
      <c r="C8" s="30"/>
      <c r="D8" s="31">
        <v>7</v>
      </c>
      <c r="E8" s="31">
        <f>SUM(E9:E10)</f>
        <v>7</v>
      </c>
      <c r="F8" s="4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s="3" customFormat="1" x14ac:dyDescent="0.25">
      <c r="A9" s="6" t="s">
        <v>41</v>
      </c>
      <c r="B9" s="7" t="s">
        <v>43</v>
      </c>
      <c r="C9" s="8" t="s">
        <v>90</v>
      </c>
      <c r="D9" s="9"/>
      <c r="E9" s="9">
        <v>2</v>
      </c>
      <c r="F9" s="5"/>
      <c r="G9" s="11"/>
      <c r="H9" s="1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s="3" customFormat="1" x14ac:dyDescent="0.25">
      <c r="A10" s="6" t="s">
        <v>42</v>
      </c>
      <c r="B10" s="7" t="s">
        <v>91</v>
      </c>
      <c r="C10" s="8" t="s">
        <v>90</v>
      </c>
      <c r="D10" s="9"/>
      <c r="E10" s="9">
        <v>5</v>
      </c>
      <c r="F10" s="5"/>
      <c r="G10" s="11"/>
      <c r="H10" s="1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s="3" customFormat="1" x14ac:dyDescent="0.25">
      <c r="A11" s="28" t="s">
        <v>44</v>
      </c>
      <c r="B11" s="29" t="s">
        <v>45</v>
      </c>
      <c r="C11" s="28"/>
      <c r="D11" s="32">
        <v>30</v>
      </c>
      <c r="E11" s="31">
        <f>E12+E27+E36</f>
        <v>111</v>
      </c>
      <c r="F11" s="5"/>
      <c r="G11" s="5"/>
      <c r="H11" s="5"/>
      <c r="I11" s="4"/>
      <c r="J11" s="4"/>
      <c r="K11" s="4"/>
      <c r="L11" s="4"/>
      <c r="M11" s="4"/>
      <c r="N11" s="4"/>
      <c r="O11" s="5"/>
      <c r="P11" s="5"/>
      <c r="Q11" s="5"/>
      <c r="R11" s="5"/>
      <c r="S11" s="5"/>
      <c r="T11" s="5"/>
    </row>
    <row r="12" spans="1:20" s="3" customFormat="1" x14ac:dyDescent="0.25">
      <c r="A12" s="33" t="s">
        <v>46</v>
      </c>
      <c r="B12" s="34" t="s">
        <v>187</v>
      </c>
      <c r="C12" s="35"/>
      <c r="D12" s="36">
        <v>30</v>
      </c>
      <c r="E12" s="36">
        <f>E13+E20</f>
        <v>53</v>
      </c>
      <c r="F12" s="5"/>
      <c r="G12" s="5"/>
      <c r="H12" s="5"/>
      <c r="I12" s="35"/>
      <c r="J12" s="35"/>
      <c r="K12" s="35"/>
      <c r="L12" s="35"/>
      <c r="M12" s="35"/>
      <c r="N12" s="35"/>
      <c r="O12" s="5"/>
      <c r="P12" s="5"/>
      <c r="Q12" s="5"/>
      <c r="R12" s="5"/>
      <c r="S12" s="5"/>
      <c r="T12" s="5"/>
    </row>
    <row r="13" spans="1:20" s="3" customFormat="1" x14ac:dyDescent="0.2">
      <c r="A13" s="62" t="s">
        <v>48</v>
      </c>
      <c r="B13" s="63" t="s">
        <v>160</v>
      </c>
      <c r="C13" s="64"/>
      <c r="D13" s="65">
        <v>25</v>
      </c>
      <c r="E13" s="65">
        <f>SUM(E14:E19)</f>
        <v>25</v>
      </c>
      <c r="F13" s="5"/>
      <c r="G13" s="5"/>
      <c r="H13" s="5"/>
      <c r="I13" s="65"/>
      <c r="J13" s="65"/>
      <c r="K13" s="65"/>
      <c r="L13" s="65"/>
      <c r="M13" s="65"/>
      <c r="N13" s="5"/>
      <c r="O13" s="5"/>
      <c r="P13" s="5"/>
      <c r="Q13" s="5"/>
      <c r="R13" s="5"/>
      <c r="S13" s="5"/>
      <c r="T13" s="5"/>
    </row>
    <row r="14" spans="1:20" s="3" customFormat="1" x14ac:dyDescent="0.25">
      <c r="A14" s="13" t="s">
        <v>130</v>
      </c>
      <c r="B14" s="14" t="s">
        <v>159</v>
      </c>
      <c r="C14" s="8" t="s">
        <v>199</v>
      </c>
      <c r="D14" s="9"/>
      <c r="E14" s="9">
        <v>3</v>
      </c>
      <c r="F14" s="5"/>
      <c r="G14" s="5"/>
      <c r="H14" s="5"/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s="3" customFormat="1" x14ac:dyDescent="0.25">
      <c r="A15" s="13" t="s">
        <v>132</v>
      </c>
      <c r="B15" s="14" t="s">
        <v>172</v>
      </c>
      <c r="C15" s="8" t="s">
        <v>199</v>
      </c>
      <c r="D15" s="9"/>
      <c r="E15" s="9">
        <v>1</v>
      </c>
      <c r="F15" s="5"/>
      <c r="G15" s="5"/>
      <c r="H15" s="5"/>
      <c r="I15" s="1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s="3" customFormat="1" x14ac:dyDescent="0.25">
      <c r="A16" s="13" t="s">
        <v>133</v>
      </c>
      <c r="B16" s="14" t="s">
        <v>173</v>
      </c>
      <c r="C16" s="8" t="s">
        <v>199</v>
      </c>
      <c r="D16" s="9"/>
      <c r="E16" s="9">
        <v>1</v>
      </c>
      <c r="F16" s="5"/>
      <c r="G16" s="5"/>
      <c r="H16" s="5"/>
      <c r="I16" s="1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s="3" customFormat="1" ht="25.5" x14ac:dyDescent="0.25">
      <c r="A17" s="13" t="s">
        <v>134</v>
      </c>
      <c r="B17" s="14" t="s">
        <v>162</v>
      </c>
      <c r="C17" s="8" t="s">
        <v>199</v>
      </c>
      <c r="D17" s="9"/>
      <c r="E17" s="9">
        <v>8</v>
      </c>
      <c r="F17" s="5"/>
      <c r="G17" s="5"/>
      <c r="H17" s="5"/>
      <c r="I17" s="5"/>
      <c r="J17" s="12"/>
      <c r="K17" s="12"/>
      <c r="L17" s="5"/>
      <c r="M17" s="5"/>
      <c r="N17" s="5"/>
      <c r="O17" s="5"/>
      <c r="P17" s="5"/>
      <c r="Q17" s="5"/>
      <c r="R17" s="5"/>
      <c r="S17" s="5"/>
      <c r="T17" s="5"/>
    </row>
    <row r="18" spans="1:20" s="3" customFormat="1" x14ac:dyDescent="0.25">
      <c r="A18" s="13" t="s">
        <v>136</v>
      </c>
      <c r="B18" s="14" t="s">
        <v>163</v>
      </c>
      <c r="C18" s="8" t="s">
        <v>199</v>
      </c>
      <c r="D18" s="9"/>
      <c r="E18" s="9">
        <v>2</v>
      </c>
      <c r="F18" s="5"/>
      <c r="G18" s="5"/>
      <c r="H18" s="5"/>
      <c r="I18" s="5"/>
      <c r="J18" s="5"/>
      <c r="K18" s="12"/>
      <c r="L18" s="5"/>
      <c r="M18" s="5"/>
      <c r="N18" s="5"/>
      <c r="O18" s="5"/>
      <c r="P18" s="5"/>
      <c r="Q18" s="5"/>
      <c r="R18" s="5"/>
      <c r="S18" s="5"/>
      <c r="T18" s="5"/>
    </row>
    <row r="19" spans="1:20" s="3" customFormat="1" ht="25.5" x14ac:dyDescent="0.25">
      <c r="A19" s="13" t="s">
        <v>164</v>
      </c>
      <c r="B19" s="14" t="s">
        <v>161</v>
      </c>
      <c r="C19" s="8" t="s">
        <v>199</v>
      </c>
      <c r="D19" s="9"/>
      <c r="E19" s="9">
        <v>10</v>
      </c>
      <c r="F19" s="5"/>
      <c r="G19" s="5"/>
      <c r="H19" s="5"/>
      <c r="I19" s="5"/>
      <c r="J19" s="5"/>
      <c r="K19" s="5"/>
      <c r="L19" s="12"/>
      <c r="M19" s="12"/>
      <c r="N19" s="5"/>
      <c r="O19" s="5"/>
      <c r="P19" s="5"/>
      <c r="Q19" s="5"/>
      <c r="R19" s="5"/>
      <c r="S19" s="5"/>
      <c r="T19" s="5"/>
    </row>
    <row r="20" spans="1:20" s="3" customFormat="1" x14ac:dyDescent="0.2">
      <c r="A20" s="62" t="s">
        <v>49</v>
      </c>
      <c r="B20" s="63" t="s">
        <v>197</v>
      </c>
      <c r="C20" s="64"/>
      <c r="D20" s="65">
        <v>30</v>
      </c>
      <c r="E20" s="65">
        <f>SUM(E21:E26)</f>
        <v>28</v>
      </c>
      <c r="F20" s="5"/>
      <c r="G20" s="5"/>
      <c r="H20" s="5"/>
      <c r="I20" s="65"/>
      <c r="J20" s="65"/>
      <c r="K20" s="65"/>
      <c r="L20" s="65"/>
      <c r="M20" s="65"/>
      <c r="N20" s="65"/>
      <c r="O20" s="5"/>
      <c r="P20" s="5"/>
      <c r="Q20" s="5"/>
      <c r="R20" s="5"/>
      <c r="S20" s="5"/>
      <c r="T20" s="5"/>
    </row>
    <row r="21" spans="1:20" s="3" customFormat="1" x14ac:dyDescent="0.25">
      <c r="A21" s="13" t="s">
        <v>95</v>
      </c>
      <c r="B21" s="14" t="s">
        <v>165</v>
      </c>
      <c r="C21" s="8" t="s">
        <v>92</v>
      </c>
      <c r="D21" s="9"/>
      <c r="E21" s="9">
        <v>5</v>
      </c>
      <c r="F21" s="5"/>
      <c r="G21" s="5"/>
      <c r="H21" s="5"/>
      <c r="I21" s="1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s="3" customFormat="1" x14ac:dyDescent="0.25">
      <c r="A22" s="13" t="s">
        <v>209</v>
      </c>
      <c r="B22" s="14" t="s">
        <v>166</v>
      </c>
      <c r="C22" s="8" t="s">
        <v>92</v>
      </c>
      <c r="D22" s="9"/>
      <c r="E22" s="9">
        <v>2</v>
      </c>
      <c r="F22" s="5"/>
      <c r="G22" s="5"/>
      <c r="H22" s="5"/>
      <c r="I22" s="5"/>
      <c r="J22" s="12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s="3" customFormat="1" x14ac:dyDescent="0.25">
      <c r="A23" s="13" t="s">
        <v>169</v>
      </c>
      <c r="B23" s="14" t="s">
        <v>167</v>
      </c>
      <c r="C23" s="8" t="s">
        <v>92</v>
      </c>
      <c r="D23" s="9"/>
      <c r="E23" s="9">
        <v>8</v>
      </c>
      <c r="F23" s="5"/>
      <c r="G23" s="5"/>
      <c r="H23" s="5"/>
      <c r="I23" s="5"/>
      <c r="J23" s="12"/>
      <c r="K23" s="12"/>
      <c r="L23" s="5"/>
      <c r="M23" s="5"/>
      <c r="N23" s="5"/>
      <c r="O23" s="5"/>
      <c r="P23" s="5"/>
      <c r="Q23" s="5"/>
      <c r="R23" s="5"/>
      <c r="S23" s="5"/>
      <c r="T23" s="5"/>
    </row>
    <row r="24" spans="1:20" s="3" customFormat="1" x14ac:dyDescent="0.25">
      <c r="A24" s="13" t="s">
        <v>170</v>
      </c>
      <c r="B24" s="14" t="s">
        <v>168</v>
      </c>
      <c r="C24" s="8" t="s">
        <v>92</v>
      </c>
      <c r="D24" s="9"/>
      <c r="E24" s="9">
        <v>8</v>
      </c>
      <c r="F24" s="5"/>
      <c r="G24" s="5"/>
      <c r="H24" s="5"/>
      <c r="I24" s="5"/>
      <c r="J24" s="5"/>
      <c r="K24" s="5"/>
      <c r="L24" s="12"/>
      <c r="M24" s="12"/>
      <c r="N24" s="5"/>
      <c r="O24" s="5"/>
      <c r="P24" s="5"/>
      <c r="Q24" s="5"/>
      <c r="R24" s="5"/>
      <c r="S24" s="5"/>
      <c r="T24" s="5"/>
    </row>
    <row r="25" spans="1:20" s="3" customFormat="1" ht="25.5" x14ac:dyDescent="0.25">
      <c r="A25" s="13" t="s">
        <v>171</v>
      </c>
      <c r="B25" s="14" t="s">
        <v>184</v>
      </c>
      <c r="C25" s="8" t="s">
        <v>92</v>
      </c>
      <c r="D25" s="9"/>
      <c r="E25" s="9">
        <v>2</v>
      </c>
      <c r="F25" s="5"/>
      <c r="G25" s="5"/>
      <c r="H25" s="5"/>
      <c r="I25" s="5"/>
      <c r="J25" s="5"/>
      <c r="K25" s="5"/>
      <c r="L25" s="5"/>
      <c r="M25" s="5"/>
      <c r="N25" s="12"/>
      <c r="O25" s="5"/>
      <c r="P25" s="5"/>
      <c r="Q25" s="5"/>
      <c r="R25" s="5"/>
      <c r="S25" s="5"/>
      <c r="T25" s="5"/>
    </row>
    <row r="26" spans="1:20" s="3" customFormat="1" ht="25.5" x14ac:dyDescent="0.25">
      <c r="A26" s="13" t="s">
        <v>210</v>
      </c>
      <c r="B26" s="14" t="s">
        <v>185</v>
      </c>
      <c r="C26" s="8" t="s">
        <v>92</v>
      </c>
      <c r="D26" s="9"/>
      <c r="E26" s="9">
        <v>3</v>
      </c>
      <c r="F26" s="5"/>
      <c r="G26" s="5"/>
      <c r="H26" s="5"/>
      <c r="I26" s="5"/>
      <c r="J26" s="5"/>
      <c r="K26" s="5"/>
      <c r="L26" s="5"/>
      <c r="M26" s="5"/>
      <c r="N26" s="12"/>
      <c r="O26" s="5"/>
      <c r="P26" s="5"/>
      <c r="Q26" s="5"/>
      <c r="R26" s="5"/>
      <c r="S26" s="5"/>
      <c r="T26" s="5"/>
    </row>
    <row r="27" spans="1:20" s="3" customFormat="1" x14ac:dyDescent="0.25">
      <c r="A27" s="33" t="s">
        <v>51</v>
      </c>
      <c r="B27" s="34" t="s">
        <v>188</v>
      </c>
      <c r="C27" s="35"/>
      <c r="D27" s="36">
        <v>30</v>
      </c>
      <c r="E27" s="36">
        <f>E28+E32</f>
        <v>53</v>
      </c>
      <c r="F27" s="5"/>
      <c r="G27" s="5"/>
      <c r="H27" s="5"/>
      <c r="I27" s="35"/>
      <c r="J27" s="35"/>
      <c r="K27" s="35"/>
      <c r="L27" s="35"/>
      <c r="M27" s="35"/>
      <c r="N27" s="35"/>
      <c r="O27" s="5"/>
      <c r="P27" s="5"/>
      <c r="Q27" s="5"/>
      <c r="R27" s="5"/>
      <c r="S27" s="5"/>
      <c r="T27" s="5"/>
    </row>
    <row r="28" spans="1:20" s="3" customFormat="1" x14ac:dyDescent="0.2">
      <c r="A28" s="62" t="s">
        <v>52</v>
      </c>
      <c r="B28" s="63" t="s">
        <v>186</v>
      </c>
      <c r="C28" s="64"/>
      <c r="D28" s="65">
        <v>30</v>
      </c>
      <c r="E28" s="65">
        <f>SUM(E29:E31)</f>
        <v>30</v>
      </c>
      <c r="F28" s="17"/>
      <c r="G28" s="17"/>
      <c r="H28" s="17"/>
      <c r="I28" s="65"/>
      <c r="J28" s="65"/>
      <c r="K28" s="65"/>
      <c r="L28" s="65"/>
      <c r="M28" s="65"/>
      <c r="N28" s="65"/>
      <c r="O28" s="5"/>
      <c r="P28" s="5"/>
      <c r="Q28" s="5"/>
      <c r="R28" s="5"/>
      <c r="S28" s="5"/>
      <c r="T28" s="5"/>
    </row>
    <row r="29" spans="1:20" s="3" customFormat="1" ht="25.5" x14ac:dyDescent="0.25">
      <c r="A29" s="13" t="s">
        <v>139</v>
      </c>
      <c r="B29" s="15" t="s">
        <v>189</v>
      </c>
      <c r="C29" s="8" t="s">
        <v>151</v>
      </c>
      <c r="D29" s="16"/>
      <c r="E29" s="16">
        <v>15</v>
      </c>
      <c r="F29" s="5"/>
      <c r="G29" s="5"/>
      <c r="H29" s="5"/>
      <c r="I29" s="12"/>
      <c r="J29" s="12"/>
      <c r="K29" s="12"/>
      <c r="L29" s="5"/>
      <c r="M29" s="5"/>
      <c r="N29" s="5"/>
      <c r="O29" s="5"/>
      <c r="P29" s="5"/>
      <c r="Q29" s="5"/>
      <c r="R29" s="5"/>
      <c r="S29" s="5"/>
      <c r="T29" s="5"/>
    </row>
    <row r="30" spans="1:20" s="3" customFormat="1" ht="25.5" x14ac:dyDescent="0.25">
      <c r="A30" s="13" t="s">
        <v>141</v>
      </c>
      <c r="B30" s="15" t="s">
        <v>191</v>
      </c>
      <c r="C30" s="8" t="s">
        <v>151</v>
      </c>
      <c r="D30" s="16"/>
      <c r="E30" s="16">
        <v>8</v>
      </c>
      <c r="F30" s="5"/>
      <c r="G30" s="5"/>
      <c r="H30" s="5"/>
      <c r="I30" s="5"/>
      <c r="J30" s="5"/>
      <c r="K30" s="5"/>
      <c r="L30" s="12"/>
      <c r="M30" s="12"/>
      <c r="N30" s="5"/>
      <c r="O30" s="5"/>
      <c r="P30" s="5"/>
      <c r="Q30" s="5"/>
      <c r="R30" s="5"/>
      <c r="S30" s="5"/>
      <c r="T30" s="5"/>
    </row>
    <row r="31" spans="1:20" s="3" customFormat="1" x14ac:dyDescent="0.25">
      <c r="A31" s="13" t="s">
        <v>144</v>
      </c>
      <c r="B31" s="15" t="s">
        <v>190</v>
      </c>
      <c r="C31" s="8" t="s">
        <v>151</v>
      </c>
      <c r="D31" s="16"/>
      <c r="E31" s="16">
        <v>7</v>
      </c>
      <c r="F31" s="5"/>
      <c r="G31" s="5"/>
      <c r="H31" s="5"/>
      <c r="I31" s="5"/>
      <c r="J31" s="5"/>
      <c r="K31" s="5"/>
      <c r="L31" s="5"/>
      <c r="M31" s="12"/>
      <c r="N31" s="12"/>
      <c r="O31" s="5"/>
      <c r="P31" s="5"/>
      <c r="Q31" s="5"/>
      <c r="R31" s="5"/>
      <c r="S31" s="5"/>
      <c r="T31" s="5"/>
    </row>
    <row r="32" spans="1:20" s="3" customFormat="1" x14ac:dyDescent="0.2">
      <c r="A32" s="62" t="s">
        <v>53</v>
      </c>
      <c r="B32" s="63" t="s">
        <v>198</v>
      </c>
      <c r="C32" s="64"/>
      <c r="D32" s="65">
        <v>25</v>
      </c>
      <c r="E32" s="65">
        <f>SUM(E33:E35)</f>
        <v>23</v>
      </c>
      <c r="F32" s="5"/>
      <c r="G32" s="5"/>
      <c r="H32" s="5"/>
      <c r="I32" s="65"/>
      <c r="J32" s="65"/>
      <c r="K32" s="65"/>
      <c r="L32" s="65"/>
      <c r="M32" s="65"/>
      <c r="N32" s="65"/>
      <c r="O32" s="5"/>
      <c r="P32" s="5"/>
      <c r="Q32" s="5"/>
      <c r="R32" s="5"/>
      <c r="S32" s="5"/>
      <c r="T32" s="5"/>
    </row>
    <row r="33" spans="1:20" s="3" customFormat="1" x14ac:dyDescent="0.25">
      <c r="A33" s="13" t="s">
        <v>193</v>
      </c>
      <c r="B33" s="15" t="s">
        <v>192</v>
      </c>
      <c r="C33" s="8" t="s">
        <v>200</v>
      </c>
      <c r="D33" s="16"/>
      <c r="E33" s="16">
        <v>15</v>
      </c>
      <c r="F33" s="5"/>
      <c r="G33" s="5"/>
      <c r="H33" s="5"/>
      <c r="I33" s="12"/>
      <c r="J33" s="12"/>
      <c r="K33" s="12"/>
      <c r="L33" s="5"/>
      <c r="M33" s="5"/>
      <c r="N33" s="5"/>
      <c r="O33" s="5"/>
      <c r="P33" s="5"/>
      <c r="Q33" s="5"/>
      <c r="R33" s="5"/>
      <c r="S33" s="5"/>
      <c r="T33" s="5"/>
    </row>
    <row r="34" spans="1:20" s="3" customFormat="1" x14ac:dyDescent="0.25">
      <c r="A34" s="13" t="s">
        <v>194</v>
      </c>
      <c r="B34" s="15" t="s">
        <v>202</v>
      </c>
      <c r="C34" s="8" t="s">
        <v>200</v>
      </c>
      <c r="D34" s="16"/>
      <c r="E34" s="16">
        <v>5</v>
      </c>
      <c r="F34" s="5"/>
      <c r="G34" s="5"/>
      <c r="H34" s="5"/>
      <c r="I34" s="5"/>
      <c r="J34" s="5"/>
      <c r="K34" s="5"/>
      <c r="L34" s="12"/>
      <c r="M34" s="5"/>
      <c r="N34" s="5"/>
      <c r="O34" s="5"/>
      <c r="P34" s="5"/>
      <c r="Q34" s="5"/>
      <c r="R34" s="5"/>
      <c r="S34" s="5"/>
      <c r="T34" s="5"/>
    </row>
    <row r="35" spans="1:20" s="3" customFormat="1" x14ac:dyDescent="0.25">
      <c r="A35" s="13" t="s">
        <v>195</v>
      </c>
      <c r="B35" s="15" t="s">
        <v>201</v>
      </c>
      <c r="C35" s="8" t="s">
        <v>200</v>
      </c>
      <c r="D35" s="16"/>
      <c r="E35" s="16">
        <v>3</v>
      </c>
      <c r="F35" s="5"/>
      <c r="G35" s="5"/>
      <c r="H35" s="5"/>
      <c r="I35" s="5"/>
      <c r="J35" s="5"/>
      <c r="K35" s="5"/>
      <c r="L35" s="5"/>
      <c r="M35" s="12"/>
      <c r="N35" s="5"/>
      <c r="O35" s="5"/>
      <c r="P35" s="5"/>
      <c r="Q35" s="5"/>
      <c r="R35" s="5"/>
      <c r="S35" s="5"/>
      <c r="T35" s="5"/>
    </row>
    <row r="36" spans="1:20" s="3" customFormat="1" x14ac:dyDescent="0.25">
      <c r="A36" s="33" t="s">
        <v>59</v>
      </c>
      <c r="B36" s="34" t="s">
        <v>177</v>
      </c>
      <c r="C36" s="35"/>
      <c r="D36" s="36">
        <v>10</v>
      </c>
      <c r="E36" s="36">
        <f>E37+E40</f>
        <v>5</v>
      </c>
      <c r="F36" s="5"/>
      <c r="G36" s="5"/>
      <c r="H36" s="5"/>
      <c r="I36" s="5"/>
      <c r="J36" s="5"/>
      <c r="K36" s="5"/>
      <c r="L36" s="5"/>
      <c r="M36" s="35"/>
      <c r="N36" s="35"/>
      <c r="O36" s="5"/>
      <c r="P36" s="5"/>
      <c r="Q36" s="5"/>
      <c r="R36" s="5"/>
      <c r="S36" s="5"/>
      <c r="T36" s="5"/>
    </row>
    <row r="37" spans="1:20" s="3" customFormat="1" x14ac:dyDescent="0.2">
      <c r="A37" s="62" t="s">
        <v>60</v>
      </c>
      <c r="B37" s="63" t="s">
        <v>175</v>
      </c>
      <c r="C37" s="64"/>
      <c r="D37" s="65">
        <v>3</v>
      </c>
      <c r="E37" s="65">
        <f>SUM(E38)</f>
        <v>3</v>
      </c>
      <c r="F37" s="17"/>
      <c r="G37" s="17"/>
      <c r="H37" s="17"/>
      <c r="I37" s="17"/>
      <c r="J37" s="17"/>
      <c r="K37" s="17"/>
      <c r="L37" s="17"/>
      <c r="M37" s="65"/>
      <c r="N37" s="5"/>
      <c r="O37" s="5"/>
      <c r="P37" s="5"/>
      <c r="Q37" s="5"/>
      <c r="R37" s="5"/>
      <c r="S37" s="5"/>
      <c r="T37" s="5"/>
    </row>
    <row r="38" spans="1:20" s="3" customFormat="1" x14ac:dyDescent="0.25">
      <c r="A38" s="13" t="s">
        <v>208</v>
      </c>
      <c r="B38" s="15" t="s">
        <v>178</v>
      </c>
      <c r="C38" s="8" t="s">
        <v>92</v>
      </c>
      <c r="D38" s="16"/>
      <c r="E38" s="16">
        <v>3</v>
      </c>
      <c r="F38" s="5"/>
      <c r="G38" s="5"/>
      <c r="H38" s="5"/>
      <c r="I38" s="5"/>
      <c r="J38" s="5"/>
      <c r="K38" s="5"/>
      <c r="L38" s="5"/>
      <c r="M38" s="12"/>
      <c r="N38" s="5"/>
      <c r="O38" s="5"/>
      <c r="P38" s="5"/>
      <c r="Q38" s="5"/>
      <c r="R38" s="5"/>
      <c r="S38" s="5"/>
      <c r="T38" s="5"/>
    </row>
    <row r="39" spans="1:20" s="3" customFormat="1" x14ac:dyDescent="0.2">
      <c r="A39" s="62" t="s">
        <v>61</v>
      </c>
      <c r="B39" s="63" t="s">
        <v>176</v>
      </c>
      <c r="C39" s="64"/>
      <c r="D39" s="65">
        <v>10</v>
      </c>
      <c r="E39" s="65">
        <f>SUM(E40:E42)</f>
        <v>12</v>
      </c>
      <c r="F39" s="5"/>
      <c r="G39" s="5"/>
      <c r="H39" s="5"/>
      <c r="I39" s="5"/>
      <c r="J39" s="5"/>
      <c r="K39" s="5"/>
      <c r="L39" s="5"/>
      <c r="M39" s="65"/>
      <c r="N39" s="65"/>
      <c r="O39" s="5"/>
      <c r="P39" s="5"/>
      <c r="Q39" s="5"/>
      <c r="R39" s="5"/>
      <c r="S39" s="5"/>
      <c r="T39" s="5"/>
    </row>
    <row r="40" spans="1:20" s="3" customFormat="1" x14ac:dyDescent="0.25">
      <c r="A40" s="13" t="s">
        <v>179</v>
      </c>
      <c r="B40" s="15" t="s">
        <v>174</v>
      </c>
      <c r="C40" s="8" t="s">
        <v>200</v>
      </c>
      <c r="D40" s="16"/>
      <c r="E40" s="16">
        <v>2</v>
      </c>
      <c r="F40" s="5"/>
      <c r="G40" s="5"/>
      <c r="H40" s="5"/>
      <c r="I40" s="5"/>
      <c r="J40" s="5"/>
      <c r="K40" s="5"/>
      <c r="L40" s="5"/>
      <c r="M40" s="12"/>
      <c r="N40" s="5"/>
      <c r="O40" s="5"/>
      <c r="P40" s="5"/>
      <c r="Q40" s="5"/>
      <c r="R40" s="5"/>
      <c r="S40" s="5"/>
      <c r="T40" s="5"/>
    </row>
    <row r="41" spans="1:20" s="3" customFormat="1" x14ac:dyDescent="0.25">
      <c r="A41" s="13" t="s">
        <v>180</v>
      </c>
      <c r="B41" s="15" t="s">
        <v>183</v>
      </c>
      <c r="C41" s="8" t="s">
        <v>200</v>
      </c>
      <c r="D41" s="16"/>
      <c r="E41" s="16">
        <v>5</v>
      </c>
      <c r="F41" s="5"/>
      <c r="G41" s="5"/>
      <c r="H41" s="5"/>
      <c r="I41" s="5"/>
      <c r="J41" s="5"/>
      <c r="K41" s="5"/>
      <c r="L41" s="5"/>
      <c r="M41" s="5"/>
      <c r="N41" s="12"/>
      <c r="O41" s="5"/>
      <c r="P41" s="5"/>
      <c r="Q41" s="5"/>
      <c r="R41" s="5"/>
      <c r="S41" s="5"/>
      <c r="T41" s="5"/>
    </row>
    <row r="42" spans="1:20" s="3" customFormat="1" x14ac:dyDescent="0.25">
      <c r="A42" s="13" t="s">
        <v>181</v>
      </c>
      <c r="B42" s="15" t="s">
        <v>182</v>
      </c>
      <c r="C42" s="8" t="s">
        <v>199</v>
      </c>
      <c r="D42" s="16"/>
      <c r="E42" s="16">
        <v>5</v>
      </c>
      <c r="F42" s="5"/>
      <c r="G42" s="5"/>
      <c r="H42" s="5"/>
      <c r="I42" s="5"/>
      <c r="J42" s="5"/>
      <c r="K42" s="5"/>
      <c r="L42" s="5"/>
      <c r="M42" s="5"/>
      <c r="N42" s="12"/>
      <c r="O42" s="5"/>
      <c r="P42" s="5"/>
      <c r="Q42" s="5"/>
      <c r="R42" s="5"/>
      <c r="S42" s="5"/>
      <c r="T42" s="5"/>
    </row>
    <row r="43" spans="1:20" s="3" customFormat="1" x14ac:dyDescent="0.25">
      <c r="A43" s="46" t="s">
        <v>122</v>
      </c>
      <c r="B43" s="47"/>
      <c r="C43" s="48"/>
      <c r="D43" s="2">
        <f>SUM(D44,D49)</f>
        <v>11</v>
      </c>
      <c r="E43" s="2">
        <f>E44+E49</f>
        <v>46</v>
      </c>
      <c r="F43" s="66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60"/>
      <c r="R43" s="5"/>
      <c r="S43" s="5"/>
      <c r="T43" s="5"/>
    </row>
    <row r="44" spans="1:20" s="3" customFormat="1" x14ac:dyDescent="0.25">
      <c r="A44" s="28" t="s">
        <v>65</v>
      </c>
      <c r="B44" s="29" t="s">
        <v>66</v>
      </c>
      <c r="C44" s="30"/>
      <c r="D44" s="31">
        <v>10</v>
      </c>
      <c r="E44" s="31">
        <f>SUM(E45:E48)</f>
        <v>45</v>
      </c>
      <c r="F44" s="20"/>
      <c r="G44" s="20"/>
      <c r="H44" s="20"/>
      <c r="I44" s="20"/>
      <c r="J44" s="20"/>
      <c r="K44" s="5"/>
      <c r="L44" s="5"/>
      <c r="M44" s="5"/>
      <c r="N44" s="5"/>
      <c r="O44" s="4"/>
      <c r="P44" s="4"/>
      <c r="Q44" s="5"/>
      <c r="R44" s="5"/>
      <c r="S44" s="5"/>
      <c r="T44" s="5"/>
    </row>
    <row r="45" spans="1:20" s="3" customFormat="1" x14ac:dyDescent="0.25">
      <c r="A45" s="6" t="s">
        <v>67</v>
      </c>
      <c r="B45" s="14" t="s">
        <v>68</v>
      </c>
      <c r="C45" s="8" t="s">
        <v>117</v>
      </c>
      <c r="D45" s="9"/>
      <c r="E45" s="9">
        <v>5</v>
      </c>
      <c r="F45" s="20"/>
      <c r="G45" s="20"/>
      <c r="H45" s="20"/>
      <c r="I45" s="20"/>
      <c r="J45" s="20"/>
      <c r="K45" s="5"/>
      <c r="L45" s="5"/>
      <c r="M45" s="5"/>
      <c r="N45" s="5"/>
      <c r="O45" s="12"/>
      <c r="P45" s="5"/>
      <c r="Q45" s="5"/>
      <c r="R45" s="5"/>
      <c r="S45" s="5"/>
      <c r="T45" s="5"/>
    </row>
    <row r="46" spans="1:20" s="3" customFormat="1" x14ac:dyDescent="0.25">
      <c r="A46" s="6" t="s">
        <v>69</v>
      </c>
      <c r="B46" s="7" t="s">
        <v>70</v>
      </c>
      <c r="C46" s="8" t="s">
        <v>196</v>
      </c>
      <c r="D46" s="9"/>
      <c r="E46" s="9">
        <v>20</v>
      </c>
      <c r="F46" s="20"/>
      <c r="G46" s="20"/>
      <c r="H46" s="20"/>
      <c r="I46" s="20"/>
      <c r="J46" s="20"/>
      <c r="K46" s="5"/>
      <c r="L46" s="5"/>
      <c r="M46" s="5"/>
      <c r="N46" s="5"/>
      <c r="O46" s="12"/>
      <c r="P46" s="5"/>
      <c r="Q46" s="5"/>
      <c r="R46" s="5"/>
      <c r="S46" s="5"/>
      <c r="T46" s="5"/>
    </row>
    <row r="47" spans="1:20" s="3" customFormat="1" x14ac:dyDescent="0.25">
      <c r="A47" s="6" t="s">
        <v>72</v>
      </c>
      <c r="B47" s="7" t="s">
        <v>73</v>
      </c>
      <c r="C47" s="8" t="s">
        <v>74</v>
      </c>
      <c r="D47" s="9"/>
      <c r="E47" s="9">
        <v>0</v>
      </c>
      <c r="F47" s="20"/>
      <c r="G47" s="20"/>
      <c r="H47" s="20"/>
      <c r="I47" s="20"/>
      <c r="J47" s="20"/>
      <c r="K47" s="5"/>
      <c r="L47" s="5"/>
      <c r="M47" s="5"/>
      <c r="N47" s="5"/>
      <c r="O47" s="5"/>
      <c r="P47" s="12"/>
      <c r="Q47" s="5"/>
      <c r="R47" s="5"/>
      <c r="S47" s="5"/>
      <c r="T47" s="5"/>
    </row>
    <row r="48" spans="1:20" s="3" customFormat="1" x14ac:dyDescent="0.25">
      <c r="A48" s="6" t="s">
        <v>75</v>
      </c>
      <c r="B48" s="7" t="s">
        <v>70</v>
      </c>
      <c r="C48" s="8" t="s">
        <v>196</v>
      </c>
      <c r="D48" s="9"/>
      <c r="E48" s="9">
        <v>20</v>
      </c>
      <c r="F48" s="20"/>
      <c r="G48" s="20"/>
      <c r="H48" s="20"/>
      <c r="I48" s="20"/>
      <c r="J48" s="20"/>
      <c r="K48" s="5"/>
      <c r="L48" s="5"/>
      <c r="M48" s="5"/>
      <c r="N48" s="5"/>
      <c r="O48" s="5"/>
      <c r="P48" s="12"/>
      <c r="Q48" s="5"/>
      <c r="R48" s="5"/>
      <c r="S48" s="5"/>
      <c r="T48" s="5"/>
    </row>
    <row r="49" spans="1:20" s="3" customFormat="1" x14ac:dyDescent="0.25">
      <c r="A49" s="28" t="s">
        <v>76</v>
      </c>
      <c r="B49" s="29" t="s">
        <v>77</v>
      </c>
      <c r="C49" s="30"/>
      <c r="D49" s="31">
        <v>1</v>
      </c>
      <c r="E49" s="31">
        <f>SUM(E50:E51)</f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4"/>
      <c r="R49" s="5"/>
      <c r="S49" s="5"/>
      <c r="T49" s="5"/>
    </row>
    <row r="50" spans="1:20" s="3" customFormat="1" x14ac:dyDescent="0.25">
      <c r="A50" s="6" t="s">
        <v>78</v>
      </c>
      <c r="B50" s="7" t="s">
        <v>81</v>
      </c>
      <c r="C50" s="8" t="s">
        <v>117</v>
      </c>
      <c r="D50" s="9"/>
      <c r="E50" s="9">
        <v>1</v>
      </c>
      <c r="F50" s="20"/>
      <c r="G50" s="20"/>
      <c r="H50" s="20"/>
      <c r="I50" s="20"/>
      <c r="J50" s="20"/>
      <c r="K50" s="5"/>
      <c r="L50" s="5"/>
      <c r="M50" s="5"/>
      <c r="N50" s="5"/>
      <c r="O50" s="5"/>
      <c r="P50" s="5"/>
      <c r="Q50" s="12"/>
      <c r="R50" s="5"/>
      <c r="S50" s="5"/>
      <c r="T50" s="5"/>
    </row>
    <row r="51" spans="1:20" s="3" customFormat="1" x14ac:dyDescent="0.25">
      <c r="A51" s="6" t="s">
        <v>80</v>
      </c>
      <c r="B51" s="7" t="s">
        <v>83</v>
      </c>
      <c r="C51" s="8" t="s">
        <v>117</v>
      </c>
      <c r="D51" s="9"/>
      <c r="E51" s="9">
        <v>0</v>
      </c>
      <c r="F51" s="20"/>
      <c r="G51" s="20"/>
      <c r="H51" s="20"/>
      <c r="I51" s="20"/>
      <c r="J51" s="20"/>
      <c r="K51" s="5"/>
      <c r="L51" s="5"/>
      <c r="M51" s="5"/>
      <c r="N51" s="5"/>
      <c r="O51" s="5"/>
      <c r="P51" s="5"/>
      <c r="Q51" s="12"/>
      <c r="R51" s="5"/>
      <c r="S51" s="5"/>
      <c r="T51" s="5"/>
    </row>
    <row r="53" spans="1:20" x14ac:dyDescent="0.25">
      <c r="A53" s="21" t="s">
        <v>84</v>
      </c>
    </row>
    <row r="54" spans="1:20" x14ac:dyDescent="0.25">
      <c r="A54" s="12"/>
      <c r="B54" s="23" t="s">
        <v>85</v>
      </c>
    </row>
    <row r="55" spans="1:20" x14ac:dyDescent="0.25">
      <c r="A55" s="11"/>
      <c r="B55" s="23" t="s">
        <v>86</v>
      </c>
    </row>
    <row r="56" spans="1:20" x14ac:dyDescent="0.25">
      <c r="A56" s="24"/>
      <c r="B56" s="23" t="s">
        <v>87</v>
      </c>
    </row>
    <row r="57" spans="1:20" x14ac:dyDescent="0.25">
      <c r="A57" s="25"/>
      <c r="B57" s="23" t="s">
        <v>88</v>
      </c>
    </row>
  </sheetData>
  <mergeCells count="13">
    <mergeCell ref="Q1:T1"/>
    <mergeCell ref="F43:Q43"/>
    <mergeCell ref="F1:H1"/>
    <mergeCell ref="I1:L1"/>
    <mergeCell ref="M1:P1"/>
    <mergeCell ref="A3:C3"/>
    <mergeCell ref="F3:P3"/>
    <mergeCell ref="A43:C43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專案計劃-P1.技術傳承</vt:lpstr>
      <vt:lpstr>專案計劃-P2.技術論壇</vt:lpstr>
      <vt:lpstr>專案計劃-P3.在線學習與考試</vt:lpstr>
    </vt:vector>
  </TitlesOfParts>
  <Company>FoxconnIT-Team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gao</cp:lastModifiedBy>
  <dcterms:created xsi:type="dcterms:W3CDTF">2021-03-04T06:40:28Z</dcterms:created>
  <dcterms:modified xsi:type="dcterms:W3CDTF">2021-06-29T07:33:47Z</dcterms:modified>
</cp:coreProperties>
</file>