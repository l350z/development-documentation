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15" windowWidth="19200" windowHeight="11865"/>
  </bookViews>
  <sheets>
    <sheet name="工作績效檢查點" sheetId="1" r:id="rId1"/>
    <sheet name="劉紅波" sheetId="2" r:id="rId2"/>
    <sheet name="劉蕊全" sheetId="4" r:id="rId3"/>
    <sheet name="李偉光" sheetId="5" r:id="rId4"/>
    <sheet name="許峰" sheetId="6" r:id="rId5"/>
    <sheet name="丁艷鳳" sheetId="8" r:id="rId6"/>
    <sheet name="徐雪潔" sheetId="9" r:id="rId7"/>
    <sheet name="李振" sheetId="10" r:id="rId8"/>
  </sheets>
  <calcPr calcId="125725"/>
</workbook>
</file>

<file path=xl/calcChain.xml><?xml version="1.0" encoding="utf-8"?>
<calcChain xmlns="http://schemas.openxmlformats.org/spreadsheetml/2006/main">
  <c r="F3" i="9"/>
  <c r="F3" i="10"/>
  <c r="F3" i="8"/>
  <c r="F3" i="5"/>
  <c r="F3" i="6"/>
  <c r="F3" i="4"/>
  <c r="F3" i="2"/>
</calcChain>
</file>

<file path=xl/sharedStrings.xml><?xml version="1.0" encoding="utf-8"?>
<sst xmlns="http://schemas.openxmlformats.org/spreadsheetml/2006/main" count="182" uniqueCount="72">
  <si>
    <t>序號</t>
    <phoneticPr fontId="1" type="noConversion"/>
  </si>
  <si>
    <t>檢查內容</t>
    <phoneticPr fontId="1" type="noConversion"/>
  </si>
  <si>
    <t>權重</t>
    <phoneticPr fontId="1" type="noConversion"/>
  </si>
  <si>
    <t>出勤狀況</t>
    <phoneticPr fontId="1" type="noConversion"/>
  </si>
  <si>
    <t>參與專案的狀況</t>
    <phoneticPr fontId="1" type="noConversion"/>
  </si>
  <si>
    <t>參與維修的狀況</t>
    <phoneticPr fontId="1" type="noConversion"/>
  </si>
  <si>
    <t>工作態度狀況</t>
    <phoneticPr fontId="1" type="noConversion"/>
  </si>
  <si>
    <t>師三以下</t>
    <phoneticPr fontId="1" type="noConversion"/>
  </si>
  <si>
    <t>師三以上（包括師三）</t>
    <phoneticPr fontId="1" type="noConversion"/>
  </si>
  <si>
    <t>提供的證據</t>
    <phoneticPr fontId="1" type="noConversion"/>
  </si>
  <si>
    <t>考勤不錯，基本上按公司的規定從事。</t>
    <phoneticPr fontId="1" type="noConversion"/>
  </si>
  <si>
    <t>得分</t>
    <phoneticPr fontId="1" type="noConversion"/>
  </si>
  <si>
    <t>1 Barcode system-LH 服務器遷移;日常維護;Bug修正;
2 Barcode system-BF 服務器遷移;過帳邏輯調整;新增RFC接口;部門間移植;常見故障匯總
3 銷單E化-LF 部門間移植;新需求開發;舊邏輯優化;</t>
    <phoneticPr fontId="1" type="noConversion"/>
  </si>
  <si>
    <t>1 銷單E化-TJ 初期人員培訓;操作手冊更新;部門間移植;
2 銷單E化-BJ 部門間移植;新需求開發;舊邏輯優化;
3 IFCS-Phase I 系統開發;成品出廠申報單上線;邏輯優化;人員培訓;
4 IFCS-Phase II 新需求匯總;評估;
5 MICMS-Phase I Team組建;系統開發</t>
    <phoneticPr fontId="1" type="noConversion"/>
  </si>
  <si>
    <t>得分理由</t>
    <phoneticPr fontId="1" type="noConversion"/>
  </si>
  <si>
    <t>1、銷單E化上線 TJ與BJ上線工作。
2、IFCS出廠管制開發上線工作。
3、MICMS開發工作。
專案工作相對較多，但是完成的狀況并不理想，都有留下一堆沒有處理的事情。</t>
    <phoneticPr fontId="1" type="noConversion"/>
  </si>
  <si>
    <t>師三以下（不包括師三）</t>
    <phoneticPr fontId="1" type="noConversion"/>
  </si>
  <si>
    <t xml:space="preserve">
1． MICMS 量具儀器校準管理系統的開發。
</t>
    <phoneticPr fontId="1" type="noConversion"/>
  </si>
  <si>
    <t>1、MICMS系統的開發工作。
這些專案相關比較少。</t>
    <phoneticPr fontId="1" type="noConversion"/>
  </si>
  <si>
    <t>維護的系統工作比較多，維護后的質量不錯。</t>
    <phoneticPr fontId="1" type="noConversion"/>
  </si>
  <si>
    <t>1、試作量試平臺的旺明月上線工作。
這些專案相關比較少。</t>
    <phoneticPr fontId="1" type="noConversion"/>
  </si>
  <si>
    <t>1、模具樣品執行單系統 系統適移工作與流程改善工作。
2、模具樣品執行單系統-旺明月2 流程變更工作。
3、治具管理系統三套系統的流程改善工作。
4、ETOOL系統：維護工作資料不穩定。</t>
    <phoneticPr fontId="1" type="noConversion"/>
  </si>
  <si>
    <t>1、LFQIS 數據維護，功能頁面變更
2、INDIAQIS 系統數據維護，頁面功能變更
3、MES_SPC 系統功能維護
4、售后服務系統第一階段維護工作。</t>
    <phoneticPr fontId="1" type="noConversion"/>
  </si>
  <si>
    <t>維護的系統工作比較多，維護后，售后系統的頁面比較統一，樣式相當不錯。</t>
    <phoneticPr fontId="1" type="noConversion"/>
  </si>
  <si>
    <t>維護的系統工作比較多，維護后，模具與治具系統表現不錯，Etool還是存在不少問題，缺少好的辦法。</t>
    <phoneticPr fontId="1" type="noConversion"/>
  </si>
  <si>
    <t>1、售后服務系統第二階段開發工作。
具有獨立開發的工作能力，處理后的效果也不錯。</t>
    <phoneticPr fontId="1" type="noConversion"/>
  </si>
  <si>
    <t xml:space="preserve">1、旺明月試作量試平臺和旺明月請購系統的開發，上線及維護。
主要變更為A.開通涉及的所有服務器和數據庫的端口訪問權限，B.複建流程和程序設計。    </t>
    <phoneticPr fontId="1" type="noConversion"/>
  </si>
  <si>
    <t>考核人：徐雪潔   師一</t>
    <phoneticPr fontId="1" type="noConversion"/>
  </si>
  <si>
    <t>能力與潛力狀況</t>
  </si>
  <si>
    <t>能力與潛力狀況</t>
    <phoneticPr fontId="1" type="noConversion"/>
  </si>
  <si>
    <t>工作態度狀況</t>
  </si>
  <si>
    <t>最后得分</t>
    <phoneticPr fontId="1" type="noConversion"/>
  </si>
  <si>
    <t>考核人：劉紅波   師三</t>
    <phoneticPr fontId="1" type="noConversion"/>
  </si>
  <si>
    <t>1、品德操守：品行端正,講求信用,遵章守紀,公私分明。4分
2、學習能力：不斷學習提升自身能力。2分
3、工作技能：具備從事本職工作之相關知識與技能。2分
4、解決問題：利用可得資源解決工作問題的能力。2分</t>
    <phoneticPr fontId="1" type="noConversion"/>
  </si>
  <si>
    <t>1、努力程度：勤勉程度,工作勤奮與辛勞的程度。4分
2、責任心：責任心強,以全部精力投入工作的程度。2分
3、執行力：執行力好,上級交辦工作盡力去達成。2分
4、人際關系：能與其他同事融洽合作,順利完成工作。2分</t>
    <phoneticPr fontId="1" type="noConversion"/>
  </si>
  <si>
    <t>1、Bar Code 維護工作。
2、銷單E化-LF維護工作。
維護工作相對有點少，銷單的維護工作總是有問題。</t>
    <phoneticPr fontId="1" type="noConversion"/>
  </si>
  <si>
    <t>考核人：劉蕊全   師三</t>
    <phoneticPr fontId="1" type="noConversion"/>
  </si>
  <si>
    <t>考核人：許峰   師一</t>
    <phoneticPr fontId="1" type="noConversion"/>
  </si>
  <si>
    <t>1、請購和轉拔系統一些需要經常變更和增添的字段（如物料類型、工廠代碼、倉碼等）設計由.ini文件讀取更改成數據庫表設計，從而簡化大量程序設計操作和減少系統上傳等時間浪費。 
2、行政管理系統重設組織架構和重建一套可以跨部門的發/收件和簽核流程。
3、NPIMS系統的交接以及新增PML信息管理（HLV）模塊，物料計劃和品質信息區分工廠代碼進行數據抓取和抛轉等操作，還有NPIMS Windows Service的變更。
4、試作量試平台的維護和開發，如新增ALV/HLV等銷貨方式，BF工令設計的變更，物料明細中虛擬件自動展開下一階物料等。</t>
    <phoneticPr fontId="1" type="noConversion"/>
  </si>
  <si>
    <t>參與維護的狀況</t>
    <phoneticPr fontId="1" type="noConversion"/>
  </si>
  <si>
    <t>1、品德操守：3.5
2、學習能力：0.5
3、工作技能：1.5
4、解決問題：2</t>
    <phoneticPr fontId="1" type="noConversion"/>
  </si>
  <si>
    <t>1、努力程度：3
2、責任心：1
3、執行力：1.5
4、人際關系：1</t>
    <phoneticPr fontId="1" type="noConversion"/>
  </si>
  <si>
    <t>1、售后服務系統第二階段開發工作。
2、MCIMS系統開發工作。</t>
    <phoneticPr fontId="1" type="noConversion"/>
  </si>
  <si>
    <t>1、品德操守：4
2、學習能力：1.5
3、工作技能：1.5
4、解決問題：2</t>
    <phoneticPr fontId="1" type="noConversion"/>
  </si>
  <si>
    <t>1、努力程度：4
2、責任心：1.5
3、執行力：1.5
4、人際關系：1.5</t>
    <phoneticPr fontId="1" type="noConversion"/>
  </si>
  <si>
    <t>考核人：李偉光  師一</t>
    <phoneticPr fontId="1" type="noConversion"/>
  </si>
  <si>
    <t>1． Qis系統spc模塊,數據抓取程式,簽核流程,數據維護等的可發,變更及維護。
2． GB 2.0系統的需求變更及後續維護。
3． CAE 仿真系統需求變更及後續維護。
4． Rohs 知識網站的需求變更及後續維護。
5． 實驗室系統的需求變更及維護。
6． RoHS檢測系統的需求變更及維護。
7． LF  FKD實驗室系統的維護。</t>
    <phoneticPr fontId="1" type="noConversion"/>
  </si>
  <si>
    <t>1、品德操守：4
2、學習能力：1
3、工作技能：1
4、解決問題：1.5</t>
    <phoneticPr fontId="1" type="noConversion"/>
  </si>
  <si>
    <t>1、努力程度：3
2、責任心：1.5
3、執行力：2
4、人際關系：1.5</t>
    <phoneticPr fontId="1" type="noConversion"/>
  </si>
  <si>
    <t>1、HWV QIS系統、SPC模塊及附屬AP程式代碼重新整理，使之可運行；
2、協助旺明月2號QIS系統上線，協助品規同仁測試，並提供SPC模塊
3、廊坊NLV QIS系統KPI模塊重大變化</t>
    <phoneticPr fontId="1" type="noConversion"/>
  </si>
  <si>
    <t>1、北富QIS SPC上線工作。
2、特采單上線工作。
3、工標QIS開發工作。
專案處理比較多，相對質量比較好。</t>
    <phoneticPr fontId="1" type="noConversion"/>
  </si>
  <si>
    <t>1、北富QIS系統SPC模塊重新開發并上線
2、廊坊LV和LX特采單及天津特采單申請系統上線
3、工標QIS系統開發進行中，前期涉及的幾個程式
（數據收集和導入、從SAP獲取工單相關聯的信息等）</t>
    <phoneticPr fontId="1" type="noConversion"/>
  </si>
  <si>
    <t>1、HWV QIS維護工作。
2、旺明月QIS系統跟蹤與參與工作。
3、NLV QIS系統 KPI系統變更。
維護工作相對有點少。</t>
    <phoneticPr fontId="1" type="noConversion"/>
  </si>
  <si>
    <t>1、品德操守：3.5
2、學習能力：1.5
3、工作技能：1.5
4、解決問題：1.5</t>
    <phoneticPr fontId="1" type="noConversion"/>
  </si>
  <si>
    <t>1、努力程度：3
2、責任心：1.5
3、執行力：1.5
4、人際關系：1.5</t>
    <phoneticPr fontId="1" type="noConversion"/>
  </si>
  <si>
    <t>1、品德操守：4
2、學習能力：0.5
3、工作技能：1
4、解決問題：2</t>
    <phoneticPr fontId="1" type="noConversion"/>
  </si>
  <si>
    <t>1、努力程度：3.5
2、責任心：1.5
3、執行力：1
4、人際關系：2</t>
    <phoneticPr fontId="1" type="noConversion"/>
  </si>
  <si>
    <t>劉紅波</t>
    <phoneticPr fontId="1" type="noConversion"/>
  </si>
  <si>
    <t>劉蕊全</t>
    <phoneticPr fontId="1" type="noConversion"/>
  </si>
  <si>
    <t>李偉光</t>
    <phoneticPr fontId="1" type="noConversion"/>
  </si>
  <si>
    <t>許峰</t>
    <phoneticPr fontId="1" type="noConversion"/>
  </si>
  <si>
    <t>丁艷鳳</t>
    <phoneticPr fontId="1" type="noConversion"/>
  </si>
  <si>
    <t>徐雪潔</t>
    <phoneticPr fontId="1" type="noConversion"/>
  </si>
  <si>
    <t>李振</t>
    <phoneticPr fontId="1" type="noConversion"/>
  </si>
  <si>
    <t>排名</t>
    <phoneticPr fontId="1" type="noConversion"/>
  </si>
  <si>
    <t>姓名</t>
    <phoneticPr fontId="1" type="noConversion"/>
  </si>
  <si>
    <t>得分</t>
    <phoneticPr fontId="1" type="noConversion"/>
  </si>
  <si>
    <t>1、品德操守：4
2、學習能力：1.5
3、工作技能：1
4、解決問題：1</t>
    <phoneticPr fontId="1" type="noConversion"/>
  </si>
  <si>
    <t>考核人：丁艷鳳   師二</t>
    <phoneticPr fontId="1" type="noConversion"/>
  </si>
  <si>
    <t>1、MICMS：參與系統開發與需求分析
2、ETOOL V2：參與系統開發工作</t>
    <phoneticPr fontId="1" type="noConversion"/>
  </si>
  <si>
    <t>1、參與MICMS系統的分析設計工作。
2、參與MICMS系統的開發工作。
3、參與ETOOL V2的開發工作。
參與的深度一般，加強主動參與的機制。</t>
    <phoneticPr fontId="1" type="noConversion"/>
  </si>
  <si>
    <t>1、努力程度：3.5
2、責任心：1.5
3、執行力：1.5
4、人際關系：1</t>
    <phoneticPr fontId="1" type="noConversion"/>
  </si>
</sst>
</file>

<file path=xl/styles.xml><?xml version="1.0" encoding="utf-8"?>
<styleSheet xmlns="http://schemas.openxmlformats.org/spreadsheetml/2006/main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21"/>
  <sheetViews>
    <sheetView showGridLines="0" tabSelected="1" workbookViewId="0">
      <selection activeCell="I21" sqref="I21"/>
    </sheetView>
  </sheetViews>
  <sheetFormatPr defaultRowHeight="16.5"/>
  <cols>
    <col min="1" max="1" width="7" customWidth="1"/>
    <col min="2" max="2" width="5.5" bestFit="1" customWidth="1"/>
    <col min="3" max="3" width="24.25" customWidth="1"/>
    <col min="4" max="4" width="5.5" bestFit="1" customWidth="1"/>
    <col min="6" max="6" width="5.5" bestFit="1" customWidth="1"/>
    <col min="7" max="7" width="21.375" customWidth="1"/>
    <col min="8" max="8" width="5.5" bestFit="1" customWidth="1"/>
  </cols>
  <sheetData>
    <row r="2" spans="2:8">
      <c r="B2" s="14" t="s">
        <v>7</v>
      </c>
      <c r="C2" s="15"/>
      <c r="D2" s="16"/>
      <c r="F2" s="14" t="s">
        <v>8</v>
      </c>
      <c r="G2" s="15"/>
      <c r="H2" s="16"/>
    </row>
    <row r="3" spans="2:8">
      <c r="B3" s="13" t="s">
        <v>0</v>
      </c>
      <c r="C3" s="13" t="s">
        <v>1</v>
      </c>
      <c r="D3" s="13" t="s">
        <v>2</v>
      </c>
      <c r="F3" s="13" t="s">
        <v>0</v>
      </c>
      <c r="G3" s="13" t="s">
        <v>1</v>
      </c>
      <c r="H3" s="13" t="s">
        <v>2</v>
      </c>
    </row>
    <row r="4" spans="2:8">
      <c r="B4" s="1">
        <v>1</v>
      </c>
      <c r="C4" s="2" t="s">
        <v>3</v>
      </c>
      <c r="D4" s="1">
        <v>10</v>
      </c>
      <c r="F4" s="1">
        <v>1</v>
      </c>
      <c r="G4" s="2" t="s">
        <v>3</v>
      </c>
      <c r="H4" s="1">
        <v>10</v>
      </c>
    </row>
    <row r="5" spans="2:8">
      <c r="B5" s="1">
        <v>2</v>
      </c>
      <c r="C5" s="2" t="s">
        <v>4</v>
      </c>
      <c r="D5" s="1">
        <v>30</v>
      </c>
      <c r="F5" s="1">
        <v>2</v>
      </c>
      <c r="G5" s="2" t="s">
        <v>4</v>
      </c>
      <c r="H5" s="1">
        <v>40</v>
      </c>
    </row>
    <row r="6" spans="2:8">
      <c r="B6" s="1">
        <v>3</v>
      </c>
      <c r="C6" s="2" t="s">
        <v>5</v>
      </c>
      <c r="D6" s="1">
        <v>40</v>
      </c>
      <c r="F6" s="1">
        <v>3</v>
      </c>
      <c r="G6" s="2" t="s">
        <v>5</v>
      </c>
      <c r="H6" s="1">
        <v>30</v>
      </c>
    </row>
    <row r="7" spans="2:8">
      <c r="B7" s="1">
        <v>4</v>
      </c>
      <c r="C7" s="2" t="s">
        <v>29</v>
      </c>
      <c r="D7" s="1">
        <v>10</v>
      </c>
      <c r="F7" s="1">
        <v>4</v>
      </c>
      <c r="G7" s="2" t="s">
        <v>29</v>
      </c>
      <c r="H7" s="1">
        <v>10</v>
      </c>
    </row>
    <row r="8" spans="2:8">
      <c r="B8" s="1">
        <v>5</v>
      </c>
      <c r="C8" s="2" t="s">
        <v>6</v>
      </c>
      <c r="D8" s="1">
        <v>10</v>
      </c>
      <c r="F8" s="1">
        <v>5</v>
      </c>
      <c r="G8" s="2" t="s">
        <v>6</v>
      </c>
      <c r="H8" s="1">
        <v>10</v>
      </c>
    </row>
    <row r="9" spans="2:8">
      <c r="D9" s="3">
        <v>100</v>
      </c>
      <c r="H9" s="3">
        <v>100</v>
      </c>
    </row>
    <row r="14" spans="2:8">
      <c r="B14" s="13" t="s">
        <v>64</v>
      </c>
      <c r="C14" s="12" t="s">
        <v>65</v>
      </c>
      <c r="D14" s="13" t="s">
        <v>66</v>
      </c>
    </row>
    <row r="15" spans="2:8">
      <c r="B15" s="18">
        <v>4</v>
      </c>
      <c r="C15" s="19" t="s">
        <v>57</v>
      </c>
      <c r="D15" s="18">
        <v>80.5</v>
      </c>
    </row>
    <row r="16" spans="2:8">
      <c r="B16" s="18">
        <v>3</v>
      </c>
      <c r="C16" s="19" t="s">
        <v>58</v>
      </c>
      <c r="D16" s="18">
        <v>81.5</v>
      </c>
    </row>
    <row r="17" spans="2:4">
      <c r="B17" s="18">
        <v>5</v>
      </c>
      <c r="C17" s="19" t="s">
        <v>59</v>
      </c>
      <c r="D17" s="18">
        <v>79.5</v>
      </c>
    </row>
    <row r="18" spans="2:4">
      <c r="B18" s="18">
        <v>6</v>
      </c>
      <c r="C18" s="19" t="s">
        <v>60</v>
      </c>
      <c r="D18" s="18">
        <v>78</v>
      </c>
    </row>
    <row r="19" spans="2:4">
      <c r="B19" s="18">
        <v>2</v>
      </c>
      <c r="C19" s="19" t="s">
        <v>61</v>
      </c>
      <c r="D19" s="18">
        <v>85</v>
      </c>
    </row>
    <row r="20" spans="2:4">
      <c r="B20" s="18">
        <v>1</v>
      </c>
      <c r="C20" s="19" t="s">
        <v>62</v>
      </c>
      <c r="D20" s="18">
        <v>88</v>
      </c>
    </row>
    <row r="21" spans="2:4">
      <c r="B21" s="18"/>
      <c r="C21" s="19" t="s">
        <v>63</v>
      </c>
      <c r="D21" s="18"/>
    </row>
  </sheetData>
  <mergeCells count="2">
    <mergeCell ref="B2:D2"/>
    <mergeCell ref="F2:H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G9"/>
  <sheetViews>
    <sheetView showGridLines="0" workbookViewId="0">
      <selection activeCell="F6" sqref="F6"/>
    </sheetView>
  </sheetViews>
  <sheetFormatPr defaultRowHeight="16.5"/>
  <cols>
    <col min="1" max="1" width="4.75" customWidth="1"/>
    <col min="2" max="2" width="5.5" bestFit="1" customWidth="1"/>
    <col min="3" max="3" width="17.75" customWidth="1"/>
    <col min="4" max="4" width="49.75" customWidth="1"/>
    <col min="5" max="5" width="9.5" bestFit="1" customWidth="1"/>
    <col min="6" max="6" width="6" bestFit="1" customWidth="1"/>
    <col min="7" max="7" width="35.25" customWidth="1"/>
    <col min="8" max="8" width="24.875" customWidth="1"/>
  </cols>
  <sheetData>
    <row r="2" spans="2:7">
      <c r="B2" s="14" t="s">
        <v>8</v>
      </c>
      <c r="C2" s="15"/>
      <c r="D2" s="15"/>
      <c r="E2" s="15"/>
      <c r="F2" s="15"/>
      <c r="G2" s="16"/>
    </row>
    <row r="3" spans="2:7" ht="15.75" customHeight="1">
      <c r="B3" s="17" t="s">
        <v>32</v>
      </c>
      <c r="C3" s="17"/>
      <c r="D3" s="17"/>
      <c r="E3" s="11" t="s">
        <v>31</v>
      </c>
      <c r="F3" s="11">
        <f>SUM(F5:F9)</f>
        <v>80.5</v>
      </c>
      <c r="G3" s="10"/>
    </row>
    <row r="4" spans="2:7">
      <c r="B4" s="4" t="s">
        <v>0</v>
      </c>
      <c r="C4" s="4" t="s">
        <v>1</v>
      </c>
      <c r="D4" s="4" t="s">
        <v>9</v>
      </c>
      <c r="E4" s="4" t="s">
        <v>2</v>
      </c>
      <c r="F4" s="4" t="s">
        <v>11</v>
      </c>
      <c r="G4" s="4" t="s">
        <v>14</v>
      </c>
    </row>
    <row r="5" spans="2:7">
      <c r="B5" s="5">
        <v>1</v>
      </c>
      <c r="C5" s="6" t="s">
        <v>3</v>
      </c>
      <c r="D5" s="7" t="s">
        <v>10</v>
      </c>
      <c r="E5" s="8">
        <v>10</v>
      </c>
      <c r="F5" s="8">
        <v>10</v>
      </c>
      <c r="G5" s="9"/>
    </row>
    <row r="6" spans="2:7" ht="71.25">
      <c r="B6" s="8">
        <v>2</v>
      </c>
      <c r="C6" s="9" t="s">
        <v>4</v>
      </c>
      <c r="D6" s="7" t="s">
        <v>13</v>
      </c>
      <c r="E6" s="8">
        <v>40</v>
      </c>
      <c r="F6" s="8">
        <v>31</v>
      </c>
      <c r="G6" s="7" t="s">
        <v>15</v>
      </c>
    </row>
    <row r="7" spans="2:7" ht="57">
      <c r="B7" s="8">
        <v>3</v>
      </c>
      <c r="C7" s="9" t="s">
        <v>5</v>
      </c>
      <c r="D7" s="7" t="s">
        <v>12</v>
      </c>
      <c r="E7" s="8">
        <v>30</v>
      </c>
      <c r="F7" s="8">
        <v>24</v>
      </c>
      <c r="G7" s="7" t="s">
        <v>35</v>
      </c>
    </row>
    <row r="8" spans="2:7" ht="57">
      <c r="B8" s="8">
        <v>4</v>
      </c>
      <c r="C8" s="9" t="s">
        <v>28</v>
      </c>
      <c r="D8" s="7" t="s">
        <v>33</v>
      </c>
      <c r="E8" s="8">
        <v>10</v>
      </c>
      <c r="F8" s="8">
        <v>7.5</v>
      </c>
      <c r="G8" s="7" t="s">
        <v>55</v>
      </c>
    </row>
    <row r="9" spans="2:7" ht="57">
      <c r="B9" s="8">
        <v>5</v>
      </c>
      <c r="C9" s="9" t="s">
        <v>30</v>
      </c>
      <c r="D9" s="7" t="s">
        <v>34</v>
      </c>
      <c r="E9" s="8">
        <v>10</v>
      </c>
      <c r="F9" s="8">
        <v>8</v>
      </c>
      <c r="G9" s="7" t="s">
        <v>56</v>
      </c>
    </row>
  </sheetData>
  <mergeCells count="2">
    <mergeCell ref="B2:G2"/>
    <mergeCell ref="B3:D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G9"/>
  <sheetViews>
    <sheetView showGridLines="0" workbookViewId="0">
      <selection activeCell="H10" sqref="H10"/>
    </sheetView>
  </sheetViews>
  <sheetFormatPr defaultRowHeight="16.5"/>
  <cols>
    <col min="1" max="1" width="4.75" customWidth="1"/>
    <col min="2" max="2" width="5.5" bestFit="1" customWidth="1"/>
    <col min="3" max="3" width="17.75" customWidth="1"/>
    <col min="4" max="4" width="49.75" customWidth="1"/>
    <col min="5" max="5" width="9.5" bestFit="1" customWidth="1"/>
    <col min="6" max="6" width="5.5" bestFit="1" customWidth="1"/>
    <col min="7" max="7" width="35.25" customWidth="1"/>
    <col min="8" max="8" width="24.875" customWidth="1"/>
  </cols>
  <sheetData>
    <row r="2" spans="2:7">
      <c r="B2" s="14" t="s">
        <v>8</v>
      </c>
      <c r="C2" s="15"/>
      <c r="D2" s="15"/>
      <c r="E2" s="15"/>
      <c r="F2" s="15"/>
      <c r="G2" s="16"/>
    </row>
    <row r="3" spans="2:7" ht="15.75" customHeight="1">
      <c r="B3" s="17" t="s">
        <v>36</v>
      </c>
      <c r="C3" s="17"/>
      <c r="D3" s="17"/>
      <c r="E3" s="11" t="s">
        <v>31</v>
      </c>
      <c r="F3" s="11">
        <f>SUM(F5:F9)</f>
        <v>81.5</v>
      </c>
      <c r="G3" s="10"/>
    </row>
    <row r="4" spans="2:7">
      <c r="B4" s="4" t="s">
        <v>0</v>
      </c>
      <c r="C4" s="4" t="s">
        <v>1</v>
      </c>
      <c r="D4" s="4" t="s">
        <v>9</v>
      </c>
      <c r="E4" s="4" t="s">
        <v>2</v>
      </c>
      <c r="F4" s="4" t="s">
        <v>11</v>
      </c>
      <c r="G4" s="4" t="s">
        <v>14</v>
      </c>
    </row>
    <row r="5" spans="2:7">
      <c r="B5" s="5">
        <v>1</v>
      </c>
      <c r="C5" s="6" t="s">
        <v>3</v>
      </c>
      <c r="D5" s="7" t="s">
        <v>10</v>
      </c>
      <c r="E5" s="8">
        <v>10</v>
      </c>
      <c r="F5" s="8">
        <v>10</v>
      </c>
      <c r="G5" s="9"/>
    </row>
    <row r="6" spans="2:7" ht="57">
      <c r="B6" s="8">
        <v>2</v>
      </c>
      <c r="C6" s="9" t="s">
        <v>4</v>
      </c>
      <c r="D6" s="7" t="s">
        <v>51</v>
      </c>
      <c r="E6" s="8">
        <v>40</v>
      </c>
      <c r="F6" s="8">
        <v>32</v>
      </c>
      <c r="G6" s="7" t="s">
        <v>50</v>
      </c>
    </row>
    <row r="7" spans="2:7" ht="57">
      <c r="B7" s="8">
        <v>3</v>
      </c>
      <c r="C7" s="9" t="s">
        <v>39</v>
      </c>
      <c r="D7" s="7" t="s">
        <v>49</v>
      </c>
      <c r="E7" s="8">
        <v>30</v>
      </c>
      <c r="F7" s="8">
        <v>24</v>
      </c>
      <c r="G7" s="7" t="s">
        <v>52</v>
      </c>
    </row>
    <row r="8" spans="2:7" ht="57">
      <c r="B8" s="8">
        <v>4</v>
      </c>
      <c r="C8" s="9" t="s">
        <v>28</v>
      </c>
      <c r="D8" s="7" t="s">
        <v>33</v>
      </c>
      <c r="E8" s="8">
        <v>10</v>
      </c>
      <c r="F8" s="8">
        <v>8</v>
      </c>
      <c r="G8" s="7" t="s">
        <v>53</v>
      </c>
    </row>
    <row r="9" spans="2:7" ht="57">
      <c r="B9" s="8">
        <v>5</v>
      </c>
      <c r="C9" s="9" t="s">
        <v>30</v>
      </c>
      <c r="D9" s="7" t="s">
        <v>34</v>
      </c>
      <c r="E9" s="8">
        <v>10</v>
      </c>
      <c r="F9" s="8">
        <v>7.5</v>
      </c>
      <c r="G9" s="7" t="s">
        <v>54</v>
      </c>
    </row>
  </sheetData>
  <mergeCells count="2">
    <mergeCell ref="B2:G2"/>
    <mergeCell ref="B3:D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G9"/>
  <sheetViews>
    <sheetView showGridLines="0" workbookViewId="0">
      <selection activeCell="F6" sqref="F6"/>
    </sheetView>
  </sheetViews>
  <sheetFormatPr defaultRowHeight="16.5"/>
  <cols>
    <col min="1" max="1" width="4.75" customWidth="1"/>
    <col min="2" max="2" width="5.5" bestFit="1" customWidth="1"/>
    <col min="3" max="3" width="13.625" customWidth="1"/>
    <col min="4" max="4" width="49.75" customWidth="1"/>
    <col min="5" max="5" width="9.5" bestFit="1" customWidth="1"/>
    <col min="6" max="6" width="7.375" customWidth="1"/>
    <col min="7" max="7" width="35.25" customWidth="1"/>
    <col min="8" max="8" width="24.875" customWidth="1"/>
  </cols>
  <sheetData>
    <row r="2" spans="2:7">
      <c r="B2" s="14" t="s">
        <v>16</v>
      </c>
      <c r="C2" s="15"/>
      <c r="D2" s="15"/>
      <c r="E2" s="15"/>
      <c r="F2" s="15"/>
      <c r="G2" s="16"/>
    </row>
    <row r="3" spans="2:7" ht="15.75" customHeight="1">
      <c r="B3" s="17" t="s">
        <v>45</v>
      </c>
      <c r="C3" s="17"/>
      <c r="D3" s="17"/>
      <c r="E3" s="11" t="s">
        <v>31</v>
      </c>
      <c r="F3" s="11">
        <f>SUM(F5:F9)</f>
        <v>79.5</v>
      </c>
      <c r="G3" s="10"/>
    </row>
    <row r="4" spans="2:7">
      <c r="B4" s="4" t="s">
        <v>0</v>
      </c>
      <c r="C4" s="4" t="s">
        <v>1</v>
      </c>
      <c r="D4" s="4" t="s">
        <v>9</v>
      </c>
      <c r="E4" s="4" t="s">
        <v>2</v>
      </c>
      <c r="F4" s="4" t="s">
        <v>11</v>
      </c>
      <c r="G4" s="4" t="s">
        <v>14</v>
      </c>
    </row>
    <row r="5" spans="2:7">
      <c r="B5" s="5">
        <v>1</v>
      </c>
      <c r="C5" s="6" t="s">
        <v>3</v>
      </c>
      <c r="D5" s="7" t="s">
        <v>10</v>
      </c>
      <c r="E5" s="8">
        <v>10</v>
      </c>
      <c r="F5" s="8">
        <v>10</v>
      </c>
      <c r="G5" s="9"/>
    </row>
    <row r="6" spans="2:7" ht="57">
      <c r="B6" s="8">
        <v>2</v>
      </c>
      <c r="C6" s="9" t="s">
        <v>4</v>
      </c>
      <c r="D6" s="7" t="s">
        <v>17</v>
      </c>
      <c r="E6" s="8">
        <v>20</v>
      </c>
      <c r="F6" s="8">
        <v>12</v>
      </c>
      <c r="G6" s="7" t="s">
        <v>18</v>
      </c>
    </row>
    <row r="7" spans="2:7" ht="114">
      <c r="B7" s="8">
        <v>3</v>
      </c>
      <c r="C7" s="9" t="s">
        <v>5</v>
      </c>
      <c r="D7" s="7" t="s">
        <v>46</v>
      </c>
      <c r="E7" s="8">
        <v>50</v>
      </c>
      <c r="F7" s="8">
        <v>42</v>
      </c>
      <c r="G7" s="7" t="s">
        <v>19</v>
      </c>
    </row>
    <row r="8" spans="2:7" ht="57">
      <c r="B8" s="8">
        <v>4</v>
      </c>
      <c r="C8" s="9" t="s">
        <v>28</v>
      </c>
      <c r="D8" s="7" t="s">
        <v>33</v>
      </c>
      <c r="E8" s="8">
        <v>10</v>
      </c>
      <c r="F8" s="8">
        <v>7.5</v>
      </c>
      <c r="G8" s="7" t="s">
        <v>47</v>
      </c>
    </row>
    <row r="9" spans="2:7" ht="57">
      <c r="B9" s="8">
        <v>5</v>
      </c>
      <c r="C9" s="9" t="s">
        <v>30</v>
      </c>
      <c r="D9" s="7" t="s">
        <v>34</v>
      </c>
      <c r="E9" s="8">
        <v>10</v>
      </c>
      <c r="F9" s="8">
        <v>8</v>
      </c>
      <c r="G9" s="7" t="s">
        <v>48</v>
      </c>
    </row>
  </sheetData>
  <mergeCells count="2">
    <mergeCell ref="B2:G2"/>
    <mergeCell ref="B3:D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G9"/>
  <sheetViews>
    <sheetView showGridLines="0" workbookViewId="0">
      <selection activeCell="F8" sqref="F8"/>
    </sheetView>
  </sheetViews>
  <sheetFormatPr defaultRowHeight="16.5"/>
  <cols>
    <col min="1" max="1" width="4.75" customWidth="1"/>
    <col min="2" max="2" width="5.5" bestFit="1" customWidth="1"/>
    <col min="3" max="3" width="17.75" customWidth="1"/>
    <col min="4" max="4" width="49.75" customWidth="1"/>
    <col min="5" max="5" width="9.5" bestFit="1" customWidth="1"/>
    <col min="6" max="6" width="6" customWidth="1"/>
    <col min="7" max="7" width="35.25" customWidth="1"/>
    <col min="8" max="8" width="24.875" customWidth="1"/>
  </cols>
  <sheetData>
    <row r="2" spans="2:7">
      <c r="B2" s="14" t="s">
        <v>16</v>
      </c>
      <c r="C2" s="15"/>
      <c r="D2" s="15"/>
      <c r="E2" s="15"/>
      <c r="F2" s="15"/>
      <c r="G2" s="16"/>
    </row>
    <row r="3" spans="2:7" ht="15.75" customHeight="1">
      <c r="B3" s="17" t="s">
        <v>37</v>
      </c>
      <c r="C3" s="17"/>
      <c r="D3" s="17"/>
      <c r="E3" s="11" t="s">
        <v>31</v>
      </c>
      <c r="F3" s="11">
        <f>SUM(F5:F9)</f>
        <v>78</v>
      </c>
      <c r="G3" s="10"/>
    </row>
    <row r="4" spans="2:7">
      <c r="B4" s="4" t="s">
        <v>0</v>
      </c>
      <c r="C4" s="4" t="s">
        <v>1</v>
      </c>
      <c r="D4" s="4" t="s">
        <v>9</v>
      </c>
      <c r="E4" s="4" t="s">
        <v>2</v>
      </c>
      <c r="F4" s="4" t="s">
        <v>11</v>
      </c>
      <c r="G4" s="4" t="s">
        <v>14</v>
      </c>
    </row>
    <row r="5" spans="2:7">
      <c r="B5" s="5">
        <v>1</v>
      </c>
      <c r="C5" s="6" t="s">
        <v>3</v>
      </c>
      <c r="D5" s="7" t="s">
        <v>10</v>
      </c>
      <c r="E5" s="8">
        <v>10</v>
      </c>
      <c r="F5" s="8">
        <v>10</v>
      </c>
      <c r="G5" s="9"/>
    </row>
    <row r="6" spans="2:7" ht="42.75">
      <c r="B6" s="8">
        <v>2</v>
      </c>
      <c r="C6" s="9" t="s">
        <v>4</v>
      </c>
      <c r="D6" s="7" t="s">
        <v>26</v>
      </c>
      <c r="E6" s="8">
        <v>20</v>
      </c>
      <c r="F6" s="8">
        <v>12</v>
      </c>
      <c r="G6" s="7" t="s">
        <v>20</v>
      </c>
    </row>
    <row r="7" spans="2:7" ht="142.5">
      <c r="B7" s="8">
        <v>3</v>
      </c>
      <c r="C7" s="9" t="s">
        <v>39</v>
      </c>
      <c r="D7" s="7" t="s">
        <v>38</v>
      </c>
      <c r="E7" s="8">
        <v>50</v>
      </c>
      <c r="F7" s="8">
        <v>42</v>
      </c>
      <c r="G7" s="7" t="s">
        <v>19</v>
      </c>
    </row>
    <row r="8" spans="2:7" ht="57">
      <c r="B8" s="8">
        <v>4</v>
      </c>
      <c r="C8" s="9" t="s">
        <v>28</v>
      </c>
      <c r="D8" s="7" t="s">
        <v>33</v>
      </c>
      <c r="E8" s="8">
        <v>10</v>
      </c>
      <c r="F8" s="8">
        <v>7.5</v>
      </c>
      <c r="G8" s="7" t="s">
        <v>40</v>
      </c>
    </row>
    <row r="9" spans="2:7" ht="57">
      <c r="B9" s="8">
        <v>5</v>
      </c>
      <c r="C9" s="9" t="s">
        <v>30</v>
      </c>
      <c r="D9" s="7" t="s">
        <v>34</v>
      </c>
      <c r="E9" s="8">
        <v>10</v>
      </c>
      <c r="F9" s="8">
        <v>6.5</v>
      </c>
      <c r="G9" s="7" t="s">
        <v>41</v>
      </c>
    </row>
  </sheetData>
  <mergeCells count="2">
    <mergeCell ref="B2:G2"/>
    <mergeCell ref="B3:D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G9"/>
  <sheetViews>
    <sheetView showGridLines="0" workbookViewId="0">
      <selection activeCell="D16" sqref="D16"/>
    </sheetView>
  </sheetViews>
  <sheetFormatPr defaultRowHeight="16.5"/>
  <cols>
    <col min="1" max="1" width="4.75" customWidth="1"/>
    <col min="2" max="2" width="5.5" bestFit="1" customWidth="1"/>
    <col min="3" max="3" width="17.75" customWidth="1"/>
    <col min="4" max="4" width="49.75" customWidth="1"/>
    <col min="5" max="5" width="9.5" bestFit="1" customWidth="1"/>
    <col min="6" max="6" width="5.5" bestFit="1" customWidth="1"/>
    <col min="7" max="7" width="35.25" customWidth="1"/>
    <col min="8" max="8" width="24.875" customWidth="1"/>
  </cols>
  <sheetData>
    <row r="2" spans="2:7">
      <c r="B2" s="14" t="s">
        <v>16</v>
      </c>
      <c r="C2" s="15"/>
      <c r="D2" s="15"/>
      <c r="E2" s="15"/>
      <c r="F2" s="15"/>
      <c r="G2" s="16"/>
    </row>
    <row r="3" spans="2:7" ht="15.75" customHeight="1">
      <c r="B3" s="17" t="s">
        <v>68</v>
      </c>
      <c r="C3" s="17"/>
      <c r="D3" s="17"/>
      <c r="E3" s="11" t="s">
        <v>31</v>
      </c>
      <c r="F3" s="11">
        <f>SUM(F5:F9)</f>
        <v>85</v>
      </c>
      <c r="G3" s="10"/>
    </row>
    <row r="4" spans="2:7">
      <c r="B4" s="4" t="s">
        <v>0</v>
      </c>
      <c r="C4" s="4" t="s">
        <v>1</v>
      </c>
      <c r="D4" s="4" t="s">
        <v>9</v>
      </c>
      <c r="E4" s="4" t="s">
        <v>2</v>
      </c>
      <c r="F4" s="4" t="s">
        <v>11</v>
      </c>
      <c r="G4" s="4" t="s">
        <v>14</v>
      </c>
    </row>
    <row r="5" spans="2:7">
      <c r="B5" s="5">
        <v>1</v>
      </c>
      <c r="C5" s="6" t="s">
        <v>3</v>
      </c>
      <c r="D5" s="7" t="s">
        <v>10</v>
      </c>
      <c r="E5" s="8">
        <v>10</v>
      </c>
      <c r="F5" s="8">
        <v>10</v>
      </c>
      <c r="G5" s="9"/>
    </row>
    <row r="6" spans="2:7" ht="57">
      <c r="B6" s="8">
        <v>2</v>
      </c>
      <c r="C6" s="9" t="s">
        <v>4</v>
      </c>
      <c r="D6" s="7" t="s">
        <v>69</v>
      </c>
      <c r="E6" s="8">
        <v>20</v>
      </c>
      <c r="F6" s="8">
        <v>15</v>
      </c>
      <c r="G6" s="7" t="s">
        <v>70</v>
      </c>
    </row>
    <row r="7" spans="2:7" ht="57">
      <c r="B7" s="8">
        <v>3</v>
      </c>
      <c r="C7" s="9" t="s">
        <v>39</v>
      </c>
      <c r="D7" s="7" t="s">
        <v>21</v>
      </c>
      <c r="E7" s="8">
        <v>50</v>
      </c>
      <c r="F7" s="8">
        <v>45</v>
      </c>
      <c r="G7" s="7" t="s">
        <v>24</v>
      </c>
    </row>
    <row r="8" spans="2:7" ht="57">
      <c r="B8" s="8">
        <v>4</v>
      </c>
      <c r="C8" s="9" t="s">
        <v>28</v>
      </c>
      <c r="D8" s="7" t="s">
        <v>33</v>
      </c>
      <c r="E8" s="8">
        <v>10</v>
      </c>
      <c r="F8" s="8">
        <v>7.5</v>
      </c>
      <c r="G8" s="7" t="s">
        <v>67</v>
      </c>
    </row>
    <row r="9" spans="2:7" ht="57">
      <c r="B9" s="8">
        <v>5</v>
      </c>
      <c r="C9" s="9" t="s">
        <v>30</v>
      </c>
      <c r="D9" s="7" t="s">
        <v>34</v>
      </c>
      <c r="E9" s="8">
        <v>10</v>
      </c>
      <c r="F9" s="8">
        <v>7.5</v>
      </c>
      <c r="G9" s="7" t="s">
        <v>71</v>
      </c>
    </row>
  </sheetData>
  <mergeCells count="2">
    <mergeCell ref="B2:G2"/>
    <mergeCell ref="B3:D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2:G9"/>
  <sheetViews>
    <sheetView showGridLines="0" workbookViewId="0">
      <selection activeCell="F8" sqref="F8"/>
    </sheetView>
  </sheetViews>
  <sheetFormatPr defaultRowHeight="16.5"/>
  <cols>
    <col min="1" max="1" width="4.75" customWidth="1"/>
    <col min="2" max="2" width="5.5" bestFit="1" customWidth="1"/>
    <col min="3" max="3" width="14.625" customWidth="1"/>
    <col min="4" max="4" width="49.75" customWidth="1"/>
    <col min="5" max="5" width="10.25" customWidth="1"/>
    <col min="6" max="6" width="10.75" customWidth="1"/>
    <col min="7" max="7" width="35.25" customWidth="1"/>
    <col min="8" max="8" width="24.875" customWidth="1"/>
  </cols>
  <sheetData>
    <row r="2" spans="2:7">
      <c r="B2" s="14" t="s">
        <v>16</v>
      </c>
      <c r="C2" s="15"/>
      <c r="D2" s="15"/>
      <c r="E2" s="15"/>
      <c r="F2" s="15"/>
      <c r="G2" s="16"/>
    </row>
    <row r="3" spans="2:7" ht="15.75" customHeight="1">
      <c r="B3" s="17" t="s">
        <v>27</v>
      </c>
      <c r="C3" s="17"/>
      <c r="D3" s="17"/>
      <c r="E3" s="11" t="s">
        <v>31</v>
      </c>
      <c r="F3" s="11">
        <f>SUM(F5:F9)</f>
        <v>88</v>
      </c>
      <c r="G3" s="10"/>
    </row>
    <row r="4" spans="2:7">
      <c r="B4" s="4" t="s">
        <v>0</v>
      </c>
      <c r="C4" s="4" t="s">
        <v>1</v>
      </c>
      <c r="D4" s="4" t="s">
        <v>9</v>
      </c>
      <c r="E4" s="4" t="s">
        <v>2</v>
      </c>
      <c r="F4" s="4" t="s">
        <v>11</v>
      </c>
      <c r="G4" s="4" t="s">
        <v>14</v>
      </c>
    </row>
    <row r="5" spans="2:7">
      <c r="B5" s="5">
        <v>1</v>
      </c>
      <c r="C5" s="6" t="s">
        <v>3</v>
      </c>
      <c r="D5" s="7" t="s">
        <v>10</v>
      </c>
      <c r="E5" s="8">
        <v>10</v>
      </c>
      <c r="F5" s="8">
        <v>10</v>
      </c>
      <c r="G5" s="9"/>
    </row>
    <row r="6" spans="2:7" ht="42.75">
      <c r="B6" s="8">
        <v>2</v>
      </c>
      <c r="C6" s="9" t="s">
        <v>4</v>
      </c>
      <c r="D6" s="7" t="s">
        <v>42</v>
      </c>
      <c r="E6" s="8">
        <v>20</v>
      </c>
      <c r="F6" s="8">
        <v>16</v>
      </c>
      <c r="G6" s="7" t="s">
        <v>25</v>
      </c>
    </row>
    <row r="7" spans="2:7" ht="57">
      <c r="B7" s="8">
        <v>3</v>
      </c>
      <c r="C7" s="9" t="s">
        <v>5</v>
      </c>
      <c r="D7" s="7" t="s">
        <v>22</v>
      </c>
      <c r="E7" s="8">
        <v>50</v>
      </c>
      <c r="F7" s="8">
        <v>45</v>
      </c>
      <c r="G7" s="7" t="s">
        <v>23</v>
      </c>
    </row>
    <row r="8" spans="2:7" ht="57">
      <c r="B8" s="8">
        <v>4</v>
      </c>
      <c r="C8" s="9" t="s">
        <v>28</v>
      </c>
      <c r="D8" s="7" t="s">
        <v>33</v>
      </c>
      <c r="E8" s="8">
        <v>10</v>
      </c>
      <c r="F8" s="8">
        <v>9</v>
      </c>
      <c r="G8" s="7" t="s">
        <v>43</v>
      </c>
    </row>
    <row r="9" spans="2:7" ht="57">
      <c r="B9" s="8">
        <v>5</v>
      </c>
      <c r="C9" s="9" t="s">
        <v>30</v>
      </c>
      <c r="D9" s="7" t="s">
        <v>34</v>
      </c>
      <c r="E9" s="8">
        <v>10</v>
      </c>
      <c r="F9" s="8">
        <v>8</v>
      </c>
      <c r="G9" s="7" t="s">
        <v>44</v>
      </c>
    </row>
  </sheetData>
  <mergeCells count="2">
    <mergeCell ref="B2:G2"/>
    <mergeCell ref="B3:D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2:G9"/>
  <sheetViews>
    <sheetView showGridLines="0" workbookViewId="0">
      <selection activeCell="F13" sqref="F13"/>
    </sheetView>
  </sheetViews>
  <sheetFormatPr defaultRowHeight="16.5"/>
  <cols>
    <col min="1" max="1" width="4.75" customWidth="1"/>
    <col min="2" max="2" width="5.5" bestFit="1" customWidth="1"/>
    <col min="3" max="3" width="17.75" customWidth="1"/>
    <col min="4" max="4" width="49.75" customWidth="1"/>
    <col min="5" max="6" width="5.5" bestFit="1" customWidth="1"/>
    <col min="7" max="7" width="35.25" customWidth="1"/>
    <col min="8" max="8" width="24.875" customWidth="1"/>
  </cols>
  <sheetData>
    <row r="2" spans="2:7">
      <c r="B2" s="14" t="s">
        <v>16</v>
      </c>
      <c r="C2" s="15"/>
      <c r="D2" s="15"/>
      <c r="E2" s="15"/>
      <c r="F2" s="15"/>
      <c r="G2" s="16"/>
    </row>
    <row r="3" spans="2:7" ht="15.75" customHeight="1">
      <c r="B3" s="17" t="s">
        <v>36</v>
      </c>
      <c r="C3" s="17"/>
      <c r="D3" s="17"/>
      <c r="E3" s="11" t="s">
        <v>31</v>
      </c>
      <c r="F3" s="11">
        <f>SUM(F5:F9)</f>
        <v>0</v>
      </c>
      <c r="G3" s="10"/>
    </row>
    <row r="4" spans="2:7">
      <c r="B4" s="4" t="s">
        <v>0</v>
      </c>
      <c r="C4" s="4" t="s">
        <v>1</v>
      </c>
      <c r="D4" s="4" t="s">
        <v>9</v>
      </c>
      <c r="E4" s="4" t="s">
        <v>2</v>
      </c>
      <c r="F4" s="4" t="s">
        <v>11</v>
      </c>
      <c r="G4" s="4" t="s">
        <v>14</v>
      </c>
    </row>
    <row r="5" spans="2:7">
      <c r="B5" s="5">
        <v>1</v>
      </c>
      <c r="C5" s="6" t="s">
        <v>3</v>
      </c>
      <c r="D5" s="7"/>
      <c r="E5" s="8">
        <v>10</v>
      </c>
      <c r="F5" s="8"/>
      <c r="G5" s="9"/>
    </row>
    <row r="6" spans="2:7">
      <c r="B6" s="8">
        <v>2</v>
      </c>
      <c r="C6" s="9" t="s">
        <v>4</v>
      </c>
      <c r="D6" s="7"/>
      <c r="E6" s="8">
        <v>20</v>
      </c>
      <c r="F6" s="8"/>
      <c r="G6" s="7"/>
    </row>
    <row r="7" spans="2:7">
      <c r="B7" s="8">
        <v>3</v>
      </c>
      <c r="C7" s="9" t="s">
        <v>5</v>
      </c>
      <c r="D7" s="7"/>
      <c r="E7" s="8">
        <v>50</v>
      </c>
      <c r="F7" s="8"/>
      <c r="G7" s="7"/>
    </row>
    <row r="8" spans="2:7" ht="57">
      <c r="B8" s="8">
        <v>4</v>
      </c>
      <c r="C8" s="9" t="s">
        <v>28</v>
      </c>
      <c r="D8" s="7" t="s">
        <v>33</v>
      </c>
      <c r="E8" s="8">
        <v>10</v>
      </c>
      <c r="F8" s="8"/>
      <c r="G8" s="7"/>
    </row>
    <row r="9" spans="2:7" ht="57">
      <c r="B9" s="8">
        <v>5</v>
      </c>
      <c r="C9" s="9" t="s">
        <v>30</v>
      </c>
      <c r="D9" s="7" t="s">
        <v>34</v>
      </c>
      <c r="E9" s="8">
        <v>10</v>
      </c>
      <c r="F9" s="8"/>
      <c r="G9" s="7"/>
    </row>
  </sheetData>
  <mergeCells count="2">
    <mergeCell ref="B2:G2"/>
    <mergeCell ref="B3:D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工作績效檢查點</vt:lpstr>
      <vt:lpstr>劉紅波</vt:lpstr>
      <vt:lpstr>劉蕊全</vt:lpstr>
      <vt:lpstr>李偉光</vt:lpstr>
      <vt:lpstr>許峰</vt:lpstr>
      <vt:lpstr>丁艷鳳</vt:lpstr>
      <vt:lpstr>徐雪潔</vt:lpstr>
      <vt:lpstr>李振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2013-07-15T02:36:08Z</dcterms:modified>
</cp:coreProperties>
</file>