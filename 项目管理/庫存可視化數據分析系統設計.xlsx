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803" activeTab="3"/>
  </bookViews>
  <sheets>
    <sheet name="BU管理" sheetId="1" r:id="rId1"/>
    <sheet name="COGS平滑折線圖-B" sheetId="3" r:id="rId2"/>
    <sheet name="總體數據" sheetId="4" r:id="rId3"/>
    <sheet name="Defective柱狀圖" sheetId="5" r:id="rId4"/>
    <sheet name="Slow moving柱狀圖" sheetId="6" r:id="rId5"/>
    <sheet name="RTV柱狀圖" sheetId="10" r:id="rId6"/>
    <sheet name="In Good折柱混合圖" sheetId="7" r:id="rId7"/>
    <sheet name="Customer柱狀圖" sheetId="8" r:id="rId8"/>
    <sheet name="EOL柱狀圖" sheetId="9" r:id="rId9"/>
    <sheet name="BU庫存" sheetId="15" r:id="rId10"/>
    <sheet name="DOS平滑折線圖-Z" sheetId="2" r:id="rId11"/>
    <sheet name="報表匯總-Z" sheetId="14" r:id="rId12"/>
    <sheet name="需求說明" sheetId="12" r:id="rId13"/>
    <sheet name="Sheet2數據" sheetId="11" r:id="rId14"/>
  </sheets>
  <externalReferences>
    <externalReference r:id="rId15"/>
    <externalReference r:id="rId16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8" i="14" l="1"/>
</calcChain>
</file>

<file path=xl/sharedStrings.xml><?xml version="1.0" encoding="utf-8"?>
<sst xmlns="http://schemas.openxmlformats.org/spreadsheetml/2006/main" count="298" uniqueCount="193">
  <si>
    <t>BU管理</t>
    <phoneticPr fontId="1" type="noConversion"/>
  </si>
  <si>
    <t>3.目前的Site考慮LF,BJ</t>
    <phoneticPr fontId="1" type="noConversion"/>
  </si>
  <si>
    <t>1.維護BU和Site信息，SAP中有工廠和倉碼無BU和Site</t>
    <phoneticPr fontId="1" type="noConversion"/>
  </si>
  <si>
    <t>DOS趨勢圖</t>
    <phoneticPr fontId="1" type="noConversion"/>
  </si>
  <si>
    <t>COGS趨勢圖</t>
    <phoneticPr fontId="1" type="noConversion"/>
  </si>
  <si>
    <t>總體數據</t>
    <phoneticPr fontId="1" type="noConversion"/>
  </si>
  <si>
    <t>Defective</t>
    <phoneticPr fontId="1" type="noConversion"/>
  </si>
  <si>
    <t>In Good</t>
    <phoneticPr fontId="1" type="noConversion"/>
  </si>
  <si>
    <t>EOL</t>
    <phoneticPr fontId="1" type="noConversion"/>
  </si>
  <si>
    <t>RTV</t>
    <phoneticPr fontId="1" type="noConversion"/>
  </si>
  <si>
    <t>In Good：良品</t>
    <phoneticPr fontId="1" type="noConversion"/>
  </si>
  <si>
    <t>目标DOS根据BU设定的数据直接固定，实际的DOS根据库存/COGS*28来计算</t>
  </si>
  <si>
    <t>COGS根据用户上传的数据进行趋势图分析</t>
  </si>
  <si>
    <t>根据库存，COGS计算</t>
  </si>
  <si>
    <t>根据sheet2不良品仓码进行数据汇总</t>
  </si>
  <si>
    <t>F:Slow moving ，超庫齡良品金額，</t>
  </si>
  <si>
    <t>按照良品仓里面物料的库龄进行计算，从物料转仓日期到当前的日期，</t>
  </si>
  <si>
    <t>根据sheet2的不良品待退仓码进行数据汇总</t>
  </si>
  <si>
    <t>还要剔除Slow moving的数据</t>
  </si>
  <si>
    <t>根据sheet2客户责任仓码进行数据汇总</t>
  </si>
  <si>
    <t>根据sheet2 EOL仓码进行数据汇总</t>
  </si>
  <si>
    <t>廊坊-SAP系統工廠及倉碼分類</t>
    <phoneticPr fontId="1" type="noConversion"/>
  </si>
  <si>
    <t>BU</t>
    <phoneticPr fontId="1" type="noConversion"/>
  </si>
  <si>
    <t>SAP
 Plant</t>
    <phoneticPr fontId="1" type="noConversion"/>
  </si>
  <si>
    <t>仓码 ( Stor.location)</t>
    <phoneticPr fontId="1" type="noConversion"/>
  </si>
  <si>
    <t>客户责任
Customer Liability</t>
    <phoneticPr fontId="1" type="noConversion"/>
  </si>
  <si>
    <t>不良待退
RTV</t>
    <phoneticPr fontId="1" type="noConversion"/>
  </si>
  <si>
    <t>不良品
Defective</t>
    <phoneticPr fontId="1" type="noConversion"/>
  </si>
  <si>
    <t>良品
In good</t>
    <phoneticPr fontId="1" type="noConversion"/>
  </si>
  <si>
    <t>報廢品
Scrap</t>
    <phoneticPr fontId="1" type="noConversion"/>
  </si>
  <si>
    <t>EMS1</t>
    <phoneticPr fontId="1" type="noConversion"/>
  </si>
  <si>
    <t>WXFD</t>
  </si>
  <si>
    <t>131D</t>
  </si>
  <si>
    <t>000D</t>
  </si>
  <si>
    <t>061R</t>
  </si>
  <si>
    <t>101T</t>
  </si>
  <si>
    <t>001G</t>
  </si>
  <si>
    <t>001S</t>
  </si>
  <si>
    <t>132D</t>
  </si>
  <si>
    <t>000G</t>
  </si>
  <si>
    <t>062R</t>
  </si>
  <si>
    <t>102T</t>
  </si>
  <si>
    <t>001K</t>
  </si>
  <si>
    <t>002S</t>
  </si>
  <si>
    <t>133D</t>
  </si>
  <si>
    <t>020G</t>
  </si>
  <si>
    <t>161R</t>
  </si>
  <si>
    <t>105T</t>
  </si>
  <si>
    <t>001M</t>
  </si>
  <si>
    <t>003S</t>
  </si>
  <si>
    <t>135D</t>
  </si>
  <si>
    <t>162R</t>
  </si>
  <si>
    <t>108D</t>
  </si>
  <si>
    <t>001P</t>
  </si>
  <si>
    <t>008S</t>
  </si>
  <si>
    <t>138D</t>
  </si>
  <si>
    <t>163R</t>
  </si>
  <si>
    <t>108T</t>
  </si>
  <si>
    <t>001V</t>
  </si>
  <si>
    <t>044S</t>
  </si>
  <si>
    <t>231D</t>
  </si>
  <si>
    <t>165R</t>
  </si>
  <si>
    <t>111D</t>
  </si>
  <si>
    <t>002G</t>
  </si>
  <si>
    <t>101S</t>
  </si>
  <si>
    <t>232D</t>
  </si>
  <si>
    <t>168R</t>
  </si>
  <si>
    <t>111T</t>
  </si>
  <si>
    <t>002K</t>
  </si>
  <si>
    <t>102S</t>
  </si>
  <si>
    <t>233D</t>
  </si>
  <si>
    <t>261R</t>
  </si>
  <si>
    <t>112D</t>
  </si>
  <si>
    <t>002M</t>
  </si>
  <si>
    <t>103S</t>
  </si>
  <si>
    <t>237D</t>
  </si>
  <si>
    <t>262R</t>
  </si>
  <si>
    <t>112T</t>
  </si>
  <si>
    <t>002P</t>
  </si>
  <si>
    <t>105S</t>
  </si>
  <si>
    <t>238D</t>
  </si>
  <si>
    <t>263R</t>
  </si>
  <si>
    <t>118D</t>
  </si>
  <si>
    <t>002V</t>
  </si>
  <si>
    <t>108S</t>
  </si>
  <si>
    <t>332D</t>
  </si>
  <si>
    <t>265R</t>
  </si>
  <si>
    <t>118T</t>
  </si>
  <si>
    <t>003G</t>
  </si>
  <si>
    <t>144S</t>
  </si>
  <si>
    <t>267R</t>
  </si>
  <si>
    <t>120D</t>
  </si>
  <si>
    <t>003M</t>
  </si>
  <si>
    <t>201S</t>
  </si>
  <si>
    <t>268R</t>
  </si>
  <si>
    <t>121D</t>
  </si>
  <si>
    <t>003P</t>
  </si>
  <si>
    <t>202S</t>
  </si>
  <si>
    <t>362R</t>
  </si>
  <si>
    <t>121T</t>
  </si>
  <si>
    <t>003V</t>
  </si>
  <si>
    <t>203S</t>
  </si>
  <si>
    <t>122D</t>
  </si>
  <si>
    <t>004G</t>
  </si>
  <si>
    <t>207S</t>
  </si>
  <si>
    <t>DOS（days of suply）  -  庫存可供給天數</t>
    <phoneticPr fontId="1" type="noConversion"/>
  </si>
  <si>
    <t>序號</t>
    <phoneticPr fontId="1" type="noConversion"/>
  </si>
  <si>
    <t>數據來源</t>
    <phoneticPr fontId="1" type="noConversion"/>
  </si>
  <si>
    <t>計算邏輯</t>
    <phoneticPr fontId="1" type="noConversion"/>
  </si>
  <si>
    <t>查詢條件</t>
    <phoneticPr fontId="1" type="noConversion"/>
  </si>
  <si>
    <t>備註</t>
    <phoneticPr fontId="1" type="noConversion"/>
  </si>
  <si>
    <t>2.維護BU-Site-工廠信息（一個Site有多個BU，一個工廠屬於一個Site，利潤中心可對應多個工廠，不同的工廠下可以有相同的倉碼），一個BU會有多個Site</t>
    <phoneticPr fontId="1" type="noConversion"/>
  </si>
  <si>
    <t>EOL（End of life）：結案或死料等</t>
    <phoneticPr fontId="1" type="noConversion"/>
  </si>
  <si>
    <t>1.製程（物料類型）</t>
    <phoneticPr fontId="1" type="noConversion"/>
  </si>
  <si>
    <t>2.庫齡是SAP中的Aging Day</t>
    <phoneticPr fontId="1" type="noConversion"/>
  </si>
  <si>
    <t>目標DOS：我們系統維護</t>
    <phoneticPr fontId="1" type="noConversion"/>
  </si>
  <si>
    <t>實際DOS：我們系統計算</t>
    <phoneticPr fontId="1" type="noConversion"/>
  </si>
  <si>
    <t>庫存：我們系統計算</t>
    <phoneticPr fontId="1" type="noConversion"/>
  </si>
  <si>
    <t>COGS：SAP提供</t>
    <phoneticPr fontId="1" type="noConversion"/>
  </si>
  <si>
    <t>一個BU有一個DOS值</t>
    <phoneticPr fontId="1" type="noConversion"/>
  </si>
  <si>
    <t>28：我們系統維護</t>
    <phoneticPr fontId="1" type="noConversion"/>
  </si>
  <si>
    <t>庫存/COGS*28</t>
    <phoneticPr fontId="1" type="noConversion"/>
  </si>
  <si>
    <t>固定值（天）</t>
    <phoneticPr fontId="1" type="noConversion"/>
  </si>
  <si>
    <r>
      <t>SAP提供COGS-</t>
    </r>
    <r>
      <rPr>
        <sz val="11"/>
        <color rgb="FFFF0000"/>
        <rFont val="新細明體"/>
        <family val="1"/>
        <charset val="136"/>
        <scheme val="minor"/>
      </rPr>
      <t>利潤中心</t>
    </r>
    <r>
      <rPr>
        <sz val="11"/>
        <color theme="1"/>
        <rFont val="新細明體"/>
        <family val="2"/>
        <scheme val="minor"/>
      </rPr>
      <t>，日期，周的對應的COGS值</t>
    </r>
    <phoneticPr fontId="1" type="noConversion"/>
  </si>
  <si>
    <t>COGS：Cost of good sales  -  cost of goods （issue）   -  銷貨成本</t>
    <phoneticPr fontId="1" type="noConversion"/>
  </si>
  <si>
    <t>BU，日，周，月</t>
    <phoneticPr fontId="1" type="noConversion"/>
  </si>
  <si>
    <t>BU，日，周，月</t>
    <phoneticPr fontId="1" type="noConversion"/>
  </si>
  <si>
    <r>
      <t>SAP提供COGS-</t>
    </r>
    <r>
      <rPr>
        <sz val="11"/>
        <color rgb="FFFF0000"/>
        <rFont val="新細明體"/>
        <family val="1"/>
        <charset val="136"/>
        <scheme val="minor"/>
      </rPr>
      <t>利潤中心</t>
    </r>
    <r>
      <rPr>
        <sz val="11"/>
        <color theme="1"/>
        <rFont val="新細明體"/>
        <family val="2"/>
        <scheme val="minor"/>
      </rPr>
      <t>，日期，周的對應數據</t>
    </r>
    <phoneticPr fontId="1" type="noConversion"/>
  </si>
  <si>
    <t>目標DOS</t>
    <phoneticPr fontId="1" type="noConversion"/>
  </si>
  <si>
    <t>實際DOS</t>
    <phoneticPr fontId="1" type="noConversion"/>
  </si>
  <si>
    <t>COGS</t>
    <phoneticPr fontId="1" type="noConversion"/>
  </si>
  <si>
    <t>庫存</t>
    <phoneticPr fontId="1" type="noConversion"/>
  </si>
  <si>
    <t>目標DOS</t>
    <phoneticPr fontId="1" type="noConversion"/>
  </si>
  <si>
    <t>庫存：我們系統計算</t>
    <phoneticPr fontId="1" type="noConversion"/>
  </si>
  <si>
    <t>Defective</t>
    <phoneticPr fontId="1" type="noConversion"/>
  </si>
  <si>
    <t>SAP提供：By工廠+倉碼提供庫存</t>
    <phoneticPr fontId="1" type="noConversion"/>
  </si>
  <si>
    <t>Slow moving</t>
    <phoneticPr fontId="1" type="noConversion"/>
  </si>
  <si>
    <t>Slow moving</t>
    <phoneticPr fontId="1" type="noConversion"/>
  </si>
  <si>
    <t>电子料大于7天的算slow moving</t>
    <phoneticPr fontId="1" type="noConversion"/>
  </si>
  <si>
    <t>(FM原材料＞14天，SFG半成品&gt;7天，FG成品&gt;42天)；</t>
    <phoneticPr fontId="1" type="noConversion"/>
  </si>
  <si>
    <r>
      <t>SAP提供庫存數據，需要我們</t>
    </r>
    <r>
      <rPr>
        <sz val="11"/>
        <color rgb="FFFF0000"/>
        <rFont val="新細明體"/>
        <family val="1"/>
        <charset val="136"/>
        <scheme val="minor"/>
      </rPr>
      <t>匹配倉碼識別是不良品Defective</t>
    </r>
    <r>
      <rPr>
        <sz val="11"/>
        <color theme="1"/>
        <rFont val="新細明體"/>
        <family val="2"/>
        <scheme val="minor"/>
      </rPr>
      <t>進行數據匯總</t>
    </r>
    <phoneticPr fontId="1" type="noConversion"/>
  </si>
  <si>
    <r>
      <t>SAP提供庫存數據，需要我們</t>
    </r>
    <r>
      <rPr>
        <sz val="11"/>
        <color rgb="FFFF0000"/>
        <rFont val="新細明體"/>
        <family val="1"/>
        <charset val="136"/>
        <scheme val="minor"/>
      </rPr>
      <t>根據天數判斷</t>
    </r>
    <r>
      <rPr>
        <sz val="11"/>
        <color theme="1"/>
        <rFont val="新細明體"/>
        <family val="2"/>
        <scheme val="minor"/>
      </rPr>
      <t>，且不同的物料類型判斷天數不同</t>
    </r>
    <phoneticPr fontId="1" type="noConversion"/>
  </si>
  <si>
    <t>RTV</t>
    <phoneticPr fontId="1" type="noConversion"/>
  </si>
  <si>
    <r>
      <t>SAP提供庫存數據，需要我們</t>
    </r>
    <r>
      <rPr>
        <sz val="11"/>
        <color rgb="FFFF0000"/>
        <rFont val="新細明體"/>
        <family val="1"/>
        <charset val="136"/>
        <scheme val="minor"/>
      </rPr>
      <t>匹配倉碼識別是不良品待退倉碼</t>
    </r>
    <r>
      <rPr>
        <sz val="11"/>
        <color theme="1"/>
        <rFont val="新細明體"/>
        <family val="2"/>
        <scheme val="minor"/>
      </rPr>
      <t>進行數據匯總</t>
    </r>
    <phoneticPr fontId="1" type="noConversion"/>
  </si>
  <si>
    <t>In Good</t>
    <phoneticPr fontId="1" type="noConversion"/>
  </si>
  <si>
    <t>顯示數據</t>
    <phoneticPr fontId="1" type="noConversion"/>
  </si>
  <si>
    <t>顯示數據</t>
    <phoneticPr fontId="1" type="noConversion"/>
  </si>
  <si>
    <r>
      <t>SAP提供庫存數據，需要我們</t>
    </r>
    <r>
      <rPr>
        <sz val="11"/>
        <color rgb="FFFF0000"/>
        <rFont val="新細明體"/>
        <family val="1"/>
        <charset val="136"/>
        <scheme val="minor"/>
      </rPr>
      <t>匹配倉碼</t>
    </r>
    <r>
      <rPr>
        <sz val="11"/>
        <color theme="1"/>
        <rFont val="新細明體"/>
        <family val="2"/>
        <scheme val="minor"/>
      </rPr>
      <t>進行數據計算</t>
    </r>
    <phoneticPr fontId="1" type="noConversion"/>
  </si>
  <si>
    <t>SAP提供：By工廠+倉碼提供庫存
計算：去除客‘戶責任倉碼’，‘EOL良品倉’，‘Slow moving’之外的良品倉</t>
    <phoneticPr fontId="1" type="noConversion"/>
  </si>
  <si>
    <r>
      <t>SAP提供庫存數據，需要我們</t>
    </r>
    <r>
      <rPr>
        <sz val="11"/>
        <color rgb="FFFF0000"/>
        <rFont val="新細明體"/>
        <family val="1"/>
        <charset val="136"/>
        <scheme val="minor"/>
      </rPr>
      <t>匹配客戶責任倉碼</t>
    </r>
    <r>
      <rPr>
        <sz val="11"/>
        <color theme="1"/>
        <rFont val="新細明體"/>
        <family val="2"/>
        <scheme val="minor"/>
      </rPr>
      <t>進行數據匯總</t>
    </r>
    <phoneticPr fontId="1" type="noConversion"/>
  </si>
  <si>
    <t>Customer</t>
    <phoneticPr fontId="1" type="noConversion"/>
  </si>
  <si>
    <t>Customer：客戶責任倉碼</t>
    <phoneticPr fontId="1" type="noConversion"/>
  </si>
  <si>
    <r>
      <t>SAP提供庫存數據，需要我們</t>
    </r>
    <r>
      <rPr>
        <sz val="11"/>
        <color rgb="FFFF0000"/>
        <rFont val="新細明體"/>
        <family val="1"/>
        <charset val="136"/>
        <scheme val="minor"/>
      </rPr>
      <t>匹配倉碼識別是</t>
    </r>
    <r>
      <rPr>
        <sz val="11"/>
        <color rgb="FFFF0000"/>
        <rFont val="新細明體"/>
        <family val="2"/>
        <scheme val="minor"/>
      </rPr>
      <t>EOL倉碼</t>
    </r>
    <r>
      <rPr>
        <sz val="11"/>
        <color theme="1"/>
        <rFont val="新細明體"/>
        <family val="2"/>
        <scheme val="minor"/>
      </rPr>
      <t>進行數據匯總</t>
    </r>
    <phoneticPr fontId="1" type="noConversion"/>
  </si>
  <si>
    <t>需求說明</t>
    <phoneticPr fontId="1" type="noConversion"/>
  </si>
  <si>
    <t>3.需要匹配的倉碼：Defective，RTV，InGood，Customer，EOL</t>
    <phoneticPr fontId="1" type="noConversion"/>
  </si>
  <si>
    <t xml:space="preserve">SAP提供：By工廠+倉碼提供庫存
物料類型：FM原材料＞14天，SFG半成品&gt;7天，FG成品&gt;42天的算作Slow moving
即：SAP中Valuation Class，值為3000的是原物料，7900是半成品，7920是成品，看Aging day是多少天
</t>
    <phoneticPr fontId="1" type="noConversion"/>
  </si>
  <si>
    <t>報表匯總</t>
    <phoneticPr fontId="1" type="noConversion"/>
  </si>
  <si>
    <t>一個BU有一個DOS值</t>
    <phoneticPr fontId="1" type="noConversion"/>
  </si>
  <si>
    <t>計算邏輯</t>
    <phoneticPr fontId="1" type="noConversion"/>
  </si>
  <si>
    <t>計算邏輯</t>
    <phoneticPr fontId="1" type="noConversion"/>
  </si>
  <si>
    <t>报表汇总分单周和双周，例如：</t>
    <phoneticPr fontId="1" type="noConversion"/>
  </si>
  <si>
    <t>WK01</t>
    <phoneticPr fontId="1" type="noConversion"/>
  </si>
  <si>
    <t>WK02</t>
    <phoneticPr fontId="1" type="noConversion"/>
  </si>
  <si>
    <t>WK03</t>
    <phoneticPr fontId="1" type="noConversion"/>
  </si>
  <si>
    <t>WK04</t>
    <phoneticPr fontId="1" type="noConversion"/>
  </si>
  <si>
    <t>WK05</t>
    <phoneticPr fontId="1" type="noConversion"/>
  </si>
  <si>
    <t>单周就是上周和本周对比，双周就是WK01和WK03对比</t>
    <phoneticPr fontId="1" type="noConversion"/>
  </si>
  <si>
    <t>抓取逻辑如下：</t>
    <phoneticPr fontId="1" type="noConversion"/>
  </si>
  <si>
    <t>1.Good inventory中大於1week的需要減去slow moving</t>
    <phoneticPr fontId="1" type="noConversion"/>
  </si>
  <si>
    <t>Slow moving：超庫齡良品金額，值看庫齡（Aging day）-邏輯意義上的劃分，實際存放在良品倉裡面</t>
    <phoneticPr fontId="1" type="noConversion"/>
  </si>
  <si>
    <t>利潤中心-BU：</t>
    <phoneticPr fontId="1" type="noConversion"/>
  </si>
  <si>
    <t>工廠，倉碼：</t>
    <phoneticPr fontId="1" type="noConversion"/>
  </si>
  <si>
    <t>確定SAP庫存數據唯一性</t>
    <phoneticPr fontId="1" type="noConversion"/>
  </si>
  <si>
    <t>BU：</t>
    <phoneticPr fontId="1" type="noConversion"/>
  </si>
  <si>
    <t>一個BU有一個目標DOS，不同的BU下面，不同的物料類型的目標DOS也不同</t>
    <phoneticPr fontId="1" type="noConversion"/>
  </si>
  <si>
    <t>BU和Site多對多，Site和工廠一對多，利潤中心</t>
    <phoneticPr fontId="1" type="noConversion"/>
  </si>
  <si>
    <t>BU表</t>
    <phoneticPr fontId="1" type="noConversion"/>
  </si>
  <si>
    <t>目標DOS</t>
    <phoneticPr fontId="1" type="noConversion"/>
  </si>
  <si>
    <t>BU物料類型表</t>
    <phoneticPr fontId="1" type="noConversion"/>
  </si>
  <si>
    <t>物料類型：原材料，半成品，成品，WIP</t>
    <phoneticPr fontId="1" type="noConversion"/>
  </si>
  <si>
    <t>BU_ID</t>
    <phoneticPr fontId="1" type="noConversion"/>
  </si>
  <si>
    <t>物料類型_ID</t>
    <phoneticPr fontId="1" type="noConversion"/>
  </si>
  <si>
    <t>BU名稱</t>
    <phoneticPr fontId="1" type="noConversion"/>
  </si>
  <si>
    <t>BU_ID</t>
    <phoneticPr fontId="1" type="noConversion"/>
  </si>
  <si>
    <t>Site,工廠，倉碼，利潤中心</t>
    <phoneticPr fontId="1" type="noConversion"/>
  </si>
  <si>
    <t>BU庫存</t>
    <phoneticPr fontId="1" type="noConversion"/>
  </si>
  <si>
    <t>SAP提供：By工廠+倉碼提供庫存
庫存類型：原材料，半成品，WIP，成品，Total，DOS</t>
    <phoneticPr fontId="1" type="noConversion"/>
  </si>
  <si>
    <r>
      <t>SAP提供庫存數據，需要我們</t>
    </r>
    <r>
      <rPr>
        <sz val="11"/>
        <color rgb="FFFF0000"/>
        <rFont val="新細明體"/>
        <family val="1"/>
        <charset val="136"/>
        <scheme val="minor"/>
      </rPr>
      <t>匹配倉碼識別</t>
    </r>
    <r>
      <rPr>
        <sz val="11"/>
        <color theme="1"/>
        <rFont val="新細明體"/>
        <family val="2"/>
        <scheme val="minor"/>
      </rPr>
      <t>進行數據匯總</t>
    </r>
    <phoneticPr fontId="1" type="noConversion"/>
  </si>
  <si>
    <t>RTV：return to vendor  --  不良品待退</t>
    <phoneticPr fontId="1" type="noConversion"/>
  </si>
  <si>
    <t>5.DOS：庫存可用天數days of supply</t>
    <phoneticPr fontId="1" type="noConversion"/>
  </si>
  <si>
    <t>4.WIP：在製品Working in process</t>
    <phoneticPr fontId="1" type="noConversion"/>
  </si>
  <si>
    <t>一個工廠只屬於一個利潤中心，一個利潤中心在多個工廠，一個利潤中心名稱只會屬於一個BU</t>
    <phoneticPr fontId="1" type="noConversion"/>
  </si>
  <si>
    <t>Defective： 不良品倉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</si>
</sst>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FF0000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8"/>
      <color theme="1"/>
      <name val="新細明體"/>
      <family val="2"/>
      <scheme val="minor"/>
    </font>
    <font>
      <sz val="18"/>
      <color theme="1"/>
      <name val="新細明體"/>
      <family val="1"/>
      <charset val="136"/>
      <scheme val="minor"/>
    </font>
    <font>
      <sz val="10"/>
      <color theme="1"/>
      <name val="Arial"/>
      <family val="2"/>
      <charset val="136"/>
    </font>
    <font>
      <sz val="11"/>
      <color rgb="FFFF0000"/>
      <name val="新細明體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3" fillId="0" borderId="0" xfId="0" applyFont="1"/>
    <xf numFmtId="0" fontId="2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0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0" fillId="3" borderId="1" xfId="0" applyFont="1" applyFill="1" applyBorder="1"/>
    <xf numFmtId="0" fontId="0" fillId="0" borderId="1" xfId="0" applyBorder="1" applyAlignment="1">
      <alignment horizontal="left" wrapText="1"/>
    </xf>
    <xf numFmtId="0" fontId="0" fillId="0" borderId="1" xfId="0" applyBorder="1"/>
    <xf numFmtId="0" fontId="0" fillId="0" borderId="1" xfId="0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5" borderId="1" xfId="0" applyFill="1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0" xfId="0" applyFont="1" applyAlignment="1">
      <alignment vertical="top" wrapText="1"/>
    </xf>
    <xf numFmtId="0" fontId="0" fillId="0" borderId="2" xfId="0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COGS</a:t>
            </a:r>
            <a:r>
              <a:rPr lang="zh-CN" altLang="en-US"/>
              <a:t>趋势图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6184608129657553E-2"/>
          <c:y val="0.38728205128205123"/>
          <c:w val="0.9233268181902794"/>
          <c:h val="0.37478699777912378"/>
        </c:manualLayout>
      </c:layout>
      <c:lineChart>
        <c:grouping val="standard"/>
        <c:varyColors val="0"/>
        <c:ser>
          <c:idx val="0"/>
          <c:order val="0"/>
          <c:tx>
            <c:strRef>
              <c:f>[1]库存分析1!$A$3</c:f>
              <c:strCache>
                <c:ptCount val="1"/>
                <c:pt idx="0">
                  <c:v>COGS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[1]库存分析1!$B$3:$P$3</c:f>
              <c:numCache>
                <c:formatCode>General</c:formatCode>
                <c:ptCount val="15"/>
                <c:pt idx="0">
                  <c:v>36579.8774902718</c:v>
                </c:pt>
                <c:pt idx="1">
                  <c:v>26579.8774902718</c:v>
                </c:pt>
                <c:pt idx="2">
                  <c:v>16579.8774902718</c:v>
                </c:pt>
                <c:pt idx="3">
                  <c:v>21579.8774902718</c:v>
                </c:pt>
                <c:pt idx="4">
                  <c:v>10352.760036703299</c:v>
                </c:pt>
                <c:pt idx="5">
                  <c:v>6579.8774902717996</c:v>
                </c:pt>
                <c:pt idx="6">
                  <c:v>6579.8774902717996</c:v>
                </c:pt>
                <c:pt idx="7">
                  <c:v>6579.8774902717996</c:v>
                </c:pt>
                <c:pt idx="8">
                  <c:v>6579.8774902717996</c:v>
                </c:pt>
                <c:pt idx="9">
                  <c:v>8579.8774902717996</c:v>
                </c:pt>
                <c:pt idx="10">
                  <c:v>579.87749027179996</c:v>
                </c:pt>
                <c:pt idx="11">
                  <c:v>36579.8774902718</c:v>
                </c:pt>
                <c:pt idx="12">
                  <c:v>36579.8774902718</c:v>
                </c:pt>
                <c:pt idx="13">
                  <c:v>36579.8774902718</c:v>
                </c:pt>
                <c:pt idx="14">
                  <c:v>36579.8774902718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F7-416C-B239-5CE48EFFF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91266944"/>
        <c:axId val="-991264224"/>
      </c:lineChart>
      <c:catAx>
        <c:axId val="-99126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-991264224"/>
        <c:crosses val="autoZero"/>
        <c:auto val="1"/>
        <c:lblAlgn val="ctr"/>
        <c:lblOffset val="100"/>
        <c:noMultiLvlLbl val="0"/>
      </c:catAx>
      <c:valAx>
        <c:axId val="-99126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-991266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总体数据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[1]库存分析1!$A$2</c:f>
              <c:strCache>
                <c:ptCount val="1"/>
                <c:pt idx="0">
                  <c:v>库存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[1]库存分析1!$B$1:$P$1</c:f>
              <c:strCache>
                <c:ptCount val="15"/>
                <c:pt idx="0">
                  <c:v>WK01</c:v>
                </c:pt>
                <c:pt idx="1">
                  <c:v>WK02</c:v>
                </c:pt>
                <c:pt idx="2">
                  <c:v>WK03</c:v>
                </c:pt>
                <c:pt idx="3">
                  <c:v>WK04</c:v>
                </c:pt>
                <c:pt idx="4">
                  <c:v>WK05</c:v>
                </c:pt>
                <c:pt idx="5">
                  <c:v>WK06</c:v>
                </c:pt>
                <c:pt idx="6">
                  <c:v>WK07</c:v>
                </c:pt>
                <c:pt idx="7">
                  <c:v>WK08</c:v>
                </c:pt>
                <c:pt idx="8">
                  <c:v>WK09</c:v>
                </c:pt>
                <c:pt idx="9">
                  <c:v>WK10</c:v>
                </c:pt>
                <c:pt idx="10">
                  <c:v>WK11</c:v>
                </c:pt>
                <c:pt idx="11">
                  <c:v>WK12</c:v>
                </c:pt>
                <c:pt idx="12">
                  <c:v>WK13</c:v>
                </c:pt>
                <c:pt idx="13">
                  <c:v>WK14</c:v>
                </c:pt>
                <c:pt idx="14">
                  <c:v>WK15</c:v>
                </c:pt>
              </c:strCache>
            </c:strRef>
          </c:cat>
          <c:val>
            <c:numRef>
              <c:f>[1]库存分析1!$B$2:$P$2</c:f>
              <c:numCache>
                <c:formatCode>General</c:formatCode>
                <c:ptCount val="15"/>
                <c:pt idx="0">
                  <c:v>6783.5196384261217</c:v>
                </c:pt>
                <c:pt idx="1">
                  <c:v>8457.5771862585461</c:v>
                </c:pt>
                <c:pt idx="2">
                  <c:v>7520.2900000000009</c:v>
                </c:pt>
                <c:pt idx="3">
                  <c:v>1324.7798293624919</c:v>
                </c:pt>
                <c:pt idx="4">
                  <c:v>946.09127760502633</c:v>
                </c:pt>
                <c:pt idx="5">
                  <c:v>1242.2556504232127</c:v>
                </c:pt>
                <c:pt idx="6">
                  <c:v>1433.3963977393601</c:v>
                </c:pt>
                <c:pt idx="7">
                  <c:v>1501.1642095260322</c:v>
                </c:pt>
                <c:pt idx="8">
                  <c:v>3006.6918993948816</c:v>
                </c:pt>
                <c:pt idx="9">
                  <c:v>5680.6294424173684</c:v>
                </c:pt>
                <c:pt idx="10">
                  <c:v>538.42528214446884</c:v>
                </c:pt>
                <c:pt idx="11">
                  <c:v>40379.38788382354</c:v>
                </c:pt>
                <c:pt idx="12">
                  <c:v>44208.08134956596</c:v>
                </c:pt>
                <c:pt idx="13">
                  <c:v>45325.145399236426</c:v>
                </c:pt>
                <c:pt idx="14">
                  <c:v>48113.440237583032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4-4E93-B6C9-A6B67AE16519}"/>
            </c:ext>
          </c:extLst>
        </c:ser>
        <c:ser>
          <c:idx val="1"/>
          <c:order val="1"/>
          <c:tx>
            <c:strRef>
              <c:f>[1]库存分析1!$A$3</c:f>
              <c:strCache>
                <c:ptCount val="1"/>
                <c:pt idx="0">
                  <c:v>COGS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[1]库存分析1!$B$1:$P$1</c:f>
              <c:strCache>
                <c:ptCount val="15"/>
                <c:pt idx="0">
                  <c:v>WK01</c:v>
                </c:pt>
                <c:pt idx="1">
                  <c:v>WK02</c:v>
                </c:pt>
                <c:pt idx="2">
                  <c:v>WK03</c:v>
                </c:pt>
                <c:pt idx="3">
                  <c:v>WK04</c:v>
                </c:pt>
                <c:pt idx="4">
                  <c:v>WK05</c:v>
                </c:pt>
                <c:pt idx="5">
                  <c:v>WK06</c:v>
                </c:pt>
                <c:pt idx="6">
                  <c:v>WK07</c:v>
                </c:pt>
                <c:pt idx="7">
                  <c:v>WK08</c:v>
                </c:pt>
                <c:pt idx="8">
                  <c:v>WK09</c:v>
                </c:pt>
                <c:pt idx="9">
                  <c:v>WK10</c:v>
                </c:pt>
                <c:pt idx="10">
                  <c:v>WK11</c:v>
                </c:pt>
                <c:pt idx="11">
                  <c:v>WK12</c:v>
                </c:pt>
                <c:pt idx="12">
                  <c:v>WK13</c:v>
                </c:pt>
                <c:pt idx="13">
                  <c:v>WK14</c:v>
                </c:pt>
                <c:pt idx="14">
                  <c:v>WK15</c:v>
                </c:pt>
              </c:strCache>
            </c:strRef>
          </c:cat>
          <c:val>
            <c:numRef>
              <c:f>[1]库存分析1!$B$3:$P$3</c:f>
              <c:numCache>
                <c:formatCode>General</c:formatCode>
                <c:ptCount val="15"/>
                <c:pt idx="0">
                  <c:v>36579.8774902718</c:v>
                </c:pt>
                <c:pt idx="1">
                  <c:v>26579.8774902718</c:v>
                </c:pt>
                <c:pt idx="2">
                  <c:v>16579.8774902718</c:v>
                </c:pt>
                <c:pt idx="3">
                  <c:v>21579.8774902718</c:v>
                </c:pt>
                <c:pt idx="4">
                  <c:v>10352.760036703299</c:v>
                </c:pt>
                <c:pt idx="5">
                  <c:v>6579.8774902717996</c:v>
                </c:pt>
                <c:pt idx="6">
                  <c:v>6579.8774902717996</c:v>
                </c:pt>
                <c:pt idx="7">
                  <c:v>6579.8774902717996</c:v>
                </c:pt>
                <c:pt idx="8">
                  <c:v>6579.8774902717996</c:v>
                </c:pt>
                <c:pt idx="9">
                  <c:v>8579.8774902717996</c:v>
                </c:pt>
                <c:pt idx="10">
                  <c:v>579.87749027179996</c:v>
                </c:pt>
                <c:pt idx="11">
                  <c:v>36579.8774902718</c:v>
                </c:pt>
                <c:pt idx="12">
                  <c:v>36579.8774902718</c:v>
                </c:pt>
                <c:pt idx="13">
                  <c:v>36579.8774902718</c:v>
                </c:pt>
                <c:pt idx="14">
                  <c:v>36579.8774902718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54-4E93-B6C9-A6B67AE16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714325920"/>
        <c:axId val="-714319392"/>
      </c:barChart>
      <c:lineChart>
        <c:grouping val="standard"/>
        <c:varyColors val="0"/>
        <c:ser>
          <c:idx val="2"/>
          <c:order val="2"/>
          <c:tx>
            <c:strRef>
              <c:f>[1]库存分析1!$A$4</c:f>
              <c:strCache>
                <c:ptCount val="1"/>
                <c:pt idx="0">
                  <c:v>目标DOS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[1]库存分析1!$B$1:$P$1</c:f>
              <c:strCache>
                <c:ptCount val="15"/>
                <c:pt idx="0">
                  <c:v>WK01</c:v>
                </c:pt>
                <c:pt idx="1">
                  <c:v>WK02</c:v>
                </c:pt>
                <c:pt idx="2">
                  <c:v>WK03</c:v>
                </c:pt>
                <c:pt idx="3">
                  <c:v>WK04</c:v>
                </c:pt>
                <c:pt idx="4">
                  <c:v>WK05</c:v>
                </c:pt>
                <c:pt idx="5">
                  <c:v>WK06</c:v>
                </c:pt>
                <c:pt idx="6">
                  <c:v>WK07</c:v>
                </c:pt>
                <c:pt idx="7">
                  <c:v>WK08</c:v>
                </c:pt>
                <c:pt idx="8">
                  <c:v>WK09</c:v>
                </c:pt>
                <c:pt idx="9">
                  <c:v>WK10</c:v>
                </c:pt>
                <c:pt idx="10">
                  <c:v>WK11</c:v>
                </c:pt>
                <c:pt idx="11">
                  <c:v>WK12</c:v>
                </c:pt>
                <c:pt idx="12">
                  <c:v>WK13</c:v>
                </c:pt>
                <c:pt idx="13">
                  <c:v>WK14</c:v>
                </c:pt>
                <c:pt idx="14">
                  <c:v>WK15</c:v>
                </c:pt>
              </c:strCache>
            </c:strRef>
          </c:cat>
          <c:val>
            <c:numRef>
              <c:f>[1]库存分析1!$B$4:$P$4</c:f>
              <c:numCache>
                <c:formatCode>General</c:formatCode>
                <c:ptCount val="15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54-4E93-B6C9-A6B67AE16519}"/>
            </c:ext>
          </c:extLst>
        </c:ser>
        <c:ser>
          <c:idx val="3"/>
          <c:order val="3"/>
          <c:tx>
            <c:strRef>
              <c:f>[1]库存分析1!$A$5</c:f>
              <c:strCache>
                <c:ptCount val="1"/>
                <c:pt idx="0">
                  <c:v>实际DOS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[1]库存分析1!$B$1:$P$1</c:f>
              <c:strCache>
                <c:ptCount val="15"/>
                <c:pt idx="0">
                  <c:v>WK01</c:v>
                </c:pt>
                <c:pt idx="1">
                  <c:v>WK02</c:v>
                </c:pt>
                <c:pt idx="2">
                  <c:v>WK03</c:v>
                </c:pt>
                <c:pt idx="3">
                  <c:v>WK04</c:v>
                </c:pt>
                <c:pt idx="4">
                  <c:v>WK05</c:v>
                </c:pt>
                <c:pt idx="5">
                  <c:v>WK06</c:v>
                </c:pt>
                <c:pt idx="6">
                  <c:v>WK07</c:v>
                </c:pt>
                <c:pt idx="7">
                  <c:v>WK08</c:v>
                </c:pt>
                <c:pt idx="8">
                  <c:v>WK09</c:v>
                </c:pt>
                <c:pt idx="9">
                  <c:v>WK10</c:v>
                </c:pt>
                <c:pt idx="10">
                  <c:v>WK11</c:v>
                </c:pt>
                <c:pt idx="11">
                  <c:v>WK12</c:v>
                </c:pt>
                <c:pt idx="12">
                  <c:v>WK13</c:v>
                </c:pt>
                <c:pt idx="13">
                  <c:v>WK14</c:v>
                </c:pt>
                <c:pt idx="14">
                  <c:v>WK15</c:v>
                </c:pt>
              </c:strCache>
            </c:strRef>
          </c:cat>
          <c:val>
            <c:numRef>
              <c:f>[1]库存分析1!$B$5:$P$5</c:f>
              <c:numCache>
                <c:formatCode>General</c:formatCode>
                <c:ptCount val="15"/>
                <c:pt idx="0">
                  <c:v>5</c:v>
                </c:pt>
                <c:pt idx="1">
                  <c:v>8.9094526978881756</c:v>
                </c:pt>
                <c:pt idx="2">
                  <c:v>12.700221706918541</c:v>
                </c:pt>
                <c:pt idx="3">
                  <c:v>1.7189085173848488</c:v>
                </c:pt>
                <c:pt idx="4">
                  <c:v>2.5587916342139336</c:v>
                </c:pt>
                <c:pt idx="5">
                  <c:v>5.2862926799588701</c:v>
                </c:pt>
                <c:pt idx="6">
                  <c:v>6.0996727060710354</c:v>
                </c:pt>
                <c:pt idx="7">
                  <c:v>6.3880517424333743</c:v>
                </c:pt>
                <c:pt idx="8">
                  <c:v>12.79467183204031</c:v>
                </c:pt>
                <c:pt idx="9">
                  <c:v>18.538449362246961</c:v>
                </c:pt>
                <c:pt idx="10">
                  <c:v>25.99843614032811</c:v>
                </c:pt>
                <c:pt idx="11">
                  <c:v>30.908328248167081</c:v>
                </c:pt>
                <c:pt idx="12">
                  <c:v>33.83899462531113</c:v>
                </c:pt>
                <c:pt idx="13">
                  <c:v>34.694049249239029</c:v>
                </c:pt>
                <c:pt idx="14">
                  <c:v>36.828344409042884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54-4E93-B6C9-A6B67AE16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14328640"/>
        <c:axId val="-714321024"/>
      </c:lineChart>
      <c:catAx>
        <c:axId val="-71432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-714319392"/>
        <c:crosses val="autoZero"/>
        <c:auto val="1"/>
        <c:lblAlgn val="ctr"/>
        <c:lblOffset val="100"/>
        <c:noMultiLvlLbl val="0"/>
      </c:catAx>
      <c:valAx>
        <c:axId val="-71431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-714325920"/>
        <c:crosses val="autoZero"/>
        <c:crossBetween val="between"/>
      </c:valAx>
      <c:valAx>
        <c:axId val="-7143210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-714328640"/>
        <c:crosses val="max"/>
        <c:crossBetween val="between"/>
      </c:valAx>
      <c:catAx>
        <c:axId val="-7143286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714321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'[2]BU Inventory'!$B$40</c:f>
              <c:strCache>
                <c:ptCount val="1"/>
                <c:pt idx="0">
                  <c:v>Defective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'[2]BU Inventory'!$C$33:$L$33</c:f>
              <c:strCache>
                <c:ptCount val="10"/>
                <c:pt idx="0">
                  <c:v>WK1</c:v>
                </c:pt>
                <c:pt idx="1">
                  <c:v>WK2</c:v>
                </c:pt>
                <c:pt idx="2">
                  <c:v>WK3</c:v>
                </c:pt>
                <c:pt idx="3">
                  <c:v>WK4</c:v>
                </c:pt>
                <c:pt idx="4">
                  <c:v>WK5</c:v>
                </c:pt>
                <c:pt idx="5">
                  <c:v>WK6</c:v>
                </c:pt>
                <c:pt idx="6">
                  <c:v>WK7</c:v>
                </c:pt>
                <c:pt idx="7">
                  <c:v>WK8</c:v>
                </c:pt>
                <c:pt idx="8">
                  <c:v>WK9</c:v>
                </c:pt>
                <c:pt idx="9">
                  <c:v>WK10</c:v>
                </c:pt>
              </c:strCache>
            </c:strRef>
          </c:cat>
          <c:val>
            <c:numRef>
              <c:f>'[2]BU Inventory'!$C$40:$L$40</c:f>
              <c:numCache>
                <c:formatCode>General</c:formatCode>
                <c:ptCount val="10"/>
                <c:pt idx="0">
                  <c:v>100</c:v>
                </c:pt>
                <c:pt idx="1">
                  <c:v>166.66666666666669</c:v>
                </c:pt>
                <c:pt idx="2">
                  <c:v>233.33333333333334</c:v>
                </c:pt>
                <c:pt idx="3">
                  <c:v>300.00000000000006</c:v>
                </c:pt>
                <c:pt idx="4">
                  <c:v>366.66666666666674</c:v>
                </c:pt>
                <c:pt idx="5">
                  <c:v>433.33333333333343</c:v>
                </c:pt>
                <c:pt idx="6">
                  <c:v>500.00000000000006</c:v>
                </c:pt>
                <c:pt idx="7">
                  <c:v>566.66666666666674</c:v>
                </c:pt>
                <c:pt idx="8">
                  <c:v>633.33333333333348</c:v>
                </c:pt>
                <c:pt idx="9">
                  <c:v>700.00000000000023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3D-409B-99ED-380970044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714319936"/>
        <c:axId val="-714323744"/>
      </c:barChart>
      <c:catAx>
        <c:axId val="-71431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-714323744"/>
        <c:crosses val="autoZero"/>
        <c:auto val="1"/>
        <c:lblAlgn val="ctr"/>
        <c:lblOffset val="100"/>
        <c:noMultiLvlLbl val="0"/>
      </c:catAx>
      <c:valAx>
        <c:axId val="-714323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-714319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'[2]BU Inventory'!$B$39</c:f>
              <c:strCache>
                <c:ptCount val="1"/>
                <c:pt idx="0">
                  <c:v>Slow moving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'[2]BU Inventory'!$C$33:$L$33</c:f>
              <c:strCache>
                <c:ptCount val="10"/>
                <c:pt idx="0">
                  <c:v>WK1</c:v>
                </c:pt>
                <c:pt idx="1">
                  <c:v>WK2</c:v>
                </c:pt>
                <c:pt idx="2">
                  <c:v>WK3</c:v>
                </c:pt>
                <c:pt idx="3">
                  <c:v>WK4</c:v>
                </c:pt>
                <c:pt idx="4">
                  <c:v>WK5</c:v>
                </c:pt>
                <c:pt idx="5">
                  <c:v>WK6</c:v>
                </c:pt>
                <c:pt idx="6">
                  <c:v>WK7</c:v>
                </c:pt>
                <c:pt idx="7">
                  <c:v>WK8</c:v>
                </c:pt>
                <c:pt idx="8">
                  <c:v>WK9</c:v>
                </c:pt>
                <c:pt idx="9">
                  <c:v>WK10</c:v>
                </c:pt>
              </c:strCache>
            </c:strRef>
          </c:cat>
          <c:val>
            <c:numRef>
              <c:f>'[2]BU Inventory'!$C$39:$L$39</c:f>
              <c:numCache>
                <c:formatCode>General</c:formatCode>
                <c:ptCount val="10"/>
                <c:pt idx="0">
                  <c:v>1000</c:v>
                </c:pt>
                <c:pt idx="1">
                  <c:v>1666.6666666666667</c:v>
                </c:pt>
                <c:pt idx="2">
                  <c:v>2333.3333333333335</c:v>
                </c:pt>
                <c:pt idx="3">
                  <c:v>3000.0000000000005</c:v>
                </c:pt>
                <c:pt idx="4">
                  <c:v>3666.6666666666674</c:v>
                </c:pt>
                <c:pt idx="5">
                  <c:v>4333.3333333333348</c:v>
                </c:pt>
                <c:pt idx="6">
                  <c:v>5000.0000000000009</c:v>
                </c:pt>
                <c:pt idx="7">
                  <c:v>5666.6666666666679</c:v>
                </c:pt>
                <c:pt idx="8">
                  <c:v>6333.3333333333348</c:v>
                </c:pt>
                <c:pt idx="9">
                  <c:v>7000.0000000000027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A-47AE-9FC0-A0727886F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714334080"/>
        <c:axId val="-714324832"/>
      </c:barChart>
      <c:catAx>
        <c:axId val="-71433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-714324832"/>
        <c:crosses val="autoZero"/>
        <c:auto val="1"/>
        <c:lblAlgn val="ctr"/>
        <c:lblOffset val="100"/>
        <c:noMultiLvlLbl val="0"/>
      </c:catAx>
      <c:valAx>
        <c:axId val="-714324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-714334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'[2]BU Inventory'!$B$42</c:f>
              <c:strCache>
                <c:ptCount val="1"/>
                <c:pt idx="0">
                  <c:v>RTV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'[2]BU Inventory'!$C$33:$L$33</c:f>
              <c:strCache>
                <c:ptCount val="10"/>
                <c:pt idx="0">
                  <c:v>WK1</c:v>
                </c:pt>
                <c:pt idx="1">
                  <c:v>WK2</c:v>
                </c:pt>
                <c:pt idx="2">
                  <c:v>WK3</c:v>
                </c:pt>
                <c:pt idx="3">
                  <c:v>WK4</c:v>
                </c:pt>
                <c:pt idx="4">
                  <c:v>WK5</c:v>
                </c:pt>
                <c:pt idx="5">
                  <c:v>WK6</c:v>
                </c:pt>
                <c:pt idx="6">
                  <c:v>WK7</c:v>
                </c:pt>
                <c:pt idx="7">
                  <c:v>WK8</c:v>
                </c:pt>
                <c:pt idx="8">
                  <c:v>WK9</c:v>
                </c:pt>
                <c:pt idx="9">
                  <c:v>WK10</c:v>
                </c:pt>
              </c:strCache>
            </c:strRef>
          </c:cat>
          <c:val>
            <c:numRef>
              <c:f>'[2]BU Inventory'!$C$42:$L$42</c:f>
              <c:numCache>
                <c:formatCode>General</c:formatCode>
                <c:ptCount val="10"/>
                <c:pt idx="0">
                  <c:v>100</c:v>
                </c:pt>
                <c:pt idx="1">
                  <c:v>166.66666666666669</c:v>
                </c:pt>
                <c:pt idx="2">
                  <c:v>233.33333333333334</c:v>
                </c:pt>
                <c:pt idx="3">
                  <c:v>300.00000000000006</c:v>
                </c:pt>
                <c:pt idx="4">
                  <c:v>366.66666666666674</c:v>
                </c:pt>
                <c:pt idx="5">
                  <c:v>433.33333333333343</c:v>
                </c:pt>
                <c:pt idx="6">
                  <c:v>500.00000000000006</c:v>
                </c:pt>
                <c:pt idx="7">
                  <c:v>566.66666666666674</c:v>
                </c:pt>
                <c:pt idx="8">
                  <c:v>633.33333333333348</c:v>
                </c:pt>
                <c:pt idx="9">
                  <c:v>700.00000000000023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E2-4358-8060-0B1213818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714333536"/>
        <c:axId val="-714327552"/>
      </c:barChart>
      <c:catAx>
        <c:axId val="-71433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-714327552"/>
        <c:crosses val="autoZero"/>
        <c:auto val="1"/>
        <c:lblAlgn val="ctr"/>
        <c:lblOffset val="100"/>
        <c:noMultiLvlLbl val="0"/>
      </c:catAx>
      <c:valAx>
        <c:axId val="-714327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-714333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'[2]BU Inventory'!$B$43</c:f>
              <c:strCache>
                <c:ptCount val="1"/>
                <c:pt idx="0">
                  <c:v>In Good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'[2]BU Inventory'!$C$33:$L$33</c:f>
              <c:strCache>
                <c:ptCount val="10"/>
                <c:pt idx="0">
                  <c:v>WK1</c:v>
                </c:pt>
                <c:pt idx="1">
                  <c:v>WK2</c:v>
                </c:pt>
                <c:pt idx="2">
                  <c:v>WK3</c:v>
                </c:pt>
                <c:pt idx="3">
                  <c:v>WK4</c:v>
                </c:pt>
                <c:pt idx="4">
                  <c:v>WK5</c:v>
                </c:pt>
                <c:pt idx="5">
                  <c:v>WK6</c:v>
                </c:pt>
                <c:pt idx="6">
                  <c:v>WK7</c:v>
                </c:pt>
                <c:pt idx="7">
                  <c:v>WK8</c:v>
                </c:pt>
                <c:pt idx="8">
                  <c:v>WK9</c:v>
                </c:pt>
                <c:pt idx="9">
                  <c:v>WK10</c:v>
                </c:pt>
              </c:strCache>
            </c:strRef>
          </c:cat>
          <c:val>
            <c:numRef>
              <c:f>'[2]BU Inventory'!$C$43:$L$43</c:f>
              <c:numCache>
                <c:formatCode>General</c:formatCode>
                <c:ptCount val="10"/>
                <c:pt idx="0">
                  <c:v>1250</c:v>
                </c:pt>
                <c:pt idx="1">
                  <c:v>2083.3333333333335</c:v>
                </c:pt>
                <c:pt idx="2">
                  <c:v>2916.6666666666665</c:v>
                </c:pt>
                <c:pt idx="3">
                  <c:v>3750</c:v>
                </c:pt>
                <c:pt idx="4">
                  <c:v>4583.3333333333339</c:v>
                </c:pt>
                <c:pt idx="5">
                  <c:v>5416.6666666666679</c:v>
                </c:pt>
                <c:pt idx="6">
                  <c:v>6250.0000000000009</c:v>
                </c:pt>
                <c:pt idx="7">
                  <c:v>7083.3333333333339</c:v>
                </c:pt>
                <c:pt idx="8">
                  <c:v>7916.6666666666679</c:v>
                </c:pt>
                <c:pt idx="9">
                  <c:v>8750.0000000000018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FC-4631-AF53-7A74840C0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714325376"/>
        <c:axId val="-714321568"/>
      </c:barChart>
      <c:catAx>
        <c:axId val="-71432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-714321568"/>
        <c:crosses val="autoZero"/>
        <c:auto val="1"/>
        <c:lblAlgn val="ctr"/>
        <c:lblOffset val="100"/>
        <c:noMultiLvlLbl val="0"/>
      </c:catAx>
      <c:valAx>
        <c:axId val="-714321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-71432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481839383080211"/>
          <c:y val="0.36323636936910003"/>
          <c:w val="0.83682504083274423"/>
          <c:h val="0.37444856388776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'[2]BU Inventory'!$B$41</c:f>
              <c:strCache>
                <c:ptCount val="1"/>
                <c:pt idx="0">
                  <c:v>Customer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'[2]BU Inventory'!$C$33:$L$33</c:f>
              <c:strCache>
                <c:ptCount val="10"/>
                <c:pt idx="0">
                  <c:v>WK1</c:v>
                </c:pt>
                <c:pt idx="1">
                  <c:v>WK2</c:v>
                </c:pt>
                <c:pt idx="2">
                  <c:v>WK3</c:v>
                </c:pt>
                <c:pt idx="3">
                  <c:v>WK4</c:v>
                </c:pt>
                <c:pt idx="4">
                  <c:v>WK5</c:v>
                </c:pt>
                <c:pt idx="5">
                  <c:v>WK6</c:v>
                </c:pt>
                <c:pt idx="6">
                  <c:v>WK7</c:v>
                </c:pt>
                <c:pt idx="7">
                  <c:v>WK8</c:v>
                </c:pt>
                <c:pt idx="8">
                  <c:v>WK9</c:v>
                </c:pt>
                <c:pt idx="9">
                  <c:v>WK10</c:v>
                </c:pt>
              </c:strCache>
            </c:strRef>
          </c:cat>
          <c:val>
            <c:numRef>
              <c:f>'[2]BU Inventory'!$C$41:$L$41</c:f>
              <c:numCache>
                <c:formatCode>General</c:formatCode>
                <c:ptCount val="10"/>
                <c:pt idx="0">
                  <c:v>50</c:v>
                </c:pt>
                <c:pt idx="1">
                  <c:v>83.333333333333343</c:v>
                </c:pt>
                <c:pt idx="2">
                  <c:v>116.66666666666667</c:v>
                </c:pt>
                <c:pt idx="3">
                  <c:v>150.00000000000003</c:v>
                </c:pt>
                <c:pt idx="4">
                  <c:v>183.33333333333337</c:v>
                </c:pt>
                <c:pt idx="5">
                  <c:v>216.66666666666671</c:v>
                </c:pt>
                <c:pt idx="6">
                  <c:v>250.00000000000003</c:v>
                </c:pt>
                <c:pt idx="7">
                  <c:v>283.33333333333337</c:v>
                </c:pt>
                <c:pt idx="8">
                  <c:v>316.66666666666674</c:v>
                </c:pt>
                <c:pt idx="9">
                  <c:v>350.00000000000011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1D-4F60-9E5E-18BD9DDCB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714322112"/>
        <c:axId val="-714331904"/>
      </c:barChart>
      <c:catAx>
        <c:axId val="-71432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-714331904"/>
        <c:crosses val="autoZero"/>
        <c:auto val="1"/>
        <c:lblAlgn val="ctr"/>
        <c:lblOffset val="100"/>
        <c:noMultiLvlLbl val="0"/>
      </c:catAx>
      <c:valAx>
        <c:axId val="-714331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-714322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'[2]BU Inventory'!$B$38</c:f>
              <c:strCache>
                <c:ptCount val="1"/>
                <c:pt idx="0">
                  <c:v>EOL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'[2]BU Inventory'!$C$33:$L$33</c:f>
              <c:strCache>
                <c:ptCount val="10"/>
                <c:pt idx="0">
                  <c:v>WK1</c:v>
                </c:pt>
                <c:pt idx="1">
                  <c:v>WK2</c:v>
                </c:pt>
                <c:pt idx="2">
                  <c:v>WK3</c:v>
                </c:pt>
                <c:pt idx="3">
                  <c:v>WK4</c:v>
                </c:pt>
                <c:pt idx="4">
                  <c:v>WK5</c:v>
                </c:pt>
                <c:pt idx="5">
                  <c:v>WK6</c:v>
                </c:pt>
                <c:pt idx="6">
                  <c:v>WK7</c:v>
                </c:pt>
                <c:pt idx="7">
                  <c:v>WK8</c:v>
                </c:pt>
                <c:pt idx="8">
                  <c:v>WK9</c:v>
                </c:pt>
                <c:pt idx="9">
                  <c:v>WK10</c:v>
                </c:pt>
              </c:strCache>
            </c:strRef>
          </c:cat>
          <c:val>
            <c:numRef>
              <c:f>'[2]BU Inventory'!$C$38:$L$38</c:f>
              <c:numCache>
                <c:formatCode>General</c:formatCode>
                <c:ptCount val="10"/>
                <c:pt idx="0">
                  <c:v>500</c:v>
                </c:pt>
                <c:pt idx="1">
                  <c:v>833.33333333333337</c:v>
                </c:pt>
                <c:pt idx="2">
                  <c:v>1166.6666666666667</c:v>
                </c:pt>
                <c:pt idx="3">
                  <c:v>1500.0000000000002</c:v>
                </c:pt>
                <c:pt idx="4">
                  <c:v>1833.3333333333337</c:v>
                </c:pt>
                <c:pt idx="5">
                  <c:v>2166.6666666666674</c:v>
                </c:pt>
                <c:pt idx="6">
                  <c:v>2500.0000000000005</c:v>
                </c:pt>
                <c:pt idx="7">
                  <c:v>2833.3333333333339</c:v>
                </c:pt>
                <c:pt idx="8">
                  <c:v>3166.6666666666674</c:v>
                </c:pt>
                <c:pt idx="9">
                  <c:v>3500.0000000000014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B-4F5F-B7B7-2A1DC913C6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55"/>
        <c:axId val="-714330816"/>
        <c:axId val="-714330272"/>
      </c:barChart>
      <c:catAx>
        <c:axId val="-71433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-714330272"/>
        <c:crosses val="autoZero"/>
        <c:auto val="1"/>
        <c:lblAlgn val="ctr"/>
        <c:lblOffset val="100"/>
        <c:noMultiLvlLbl val="0"/>
      </c:catAx>
      <c:valAx>
        <c:axId val="-714330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-71433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DOS</a:t>
            </a:r>
            <a:r>
              <a:rPr lang="zh-CN" altLang="en-US"/>
              <a:t>趋势图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[1]库存分析1!$A$4</c:f>
              <c:strCache>
                <c:ptCount val="1"/>
                <c:pt idx="0">
                  <c:v>目标DOS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[1]库存分析1!$B$4:$P$4</c:f>
              <c:numCache>
                <c:formatCode>General</c:formatCode>
                <c:ptCount val="15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9D-4458-8BDB-1022D5ACF511}"/>
            </c:ext>
          </c:extLst>
        </c:ser>
        <c:ser>
          <c:idx val="1"/>
          <c:order val="1"/>
          <c:tx>
            <c:strRef>
              <c:f>[1]库存分析1!$A$5</c:f>
              <c:strCache>
                <c:ptCount val="1"/>
                <c:pt idx="0">
                  <c:v>实际DOS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[1]库存分析1!$B$5:$P$5</c:f>
              <c:numCache>
                <c:formatCode>General</c:formatCode>
                <c:ptCount val="15"/>
                <c:pt idx="0">
                  <c:v>5</c:v>
                </c:pt>
                <c:pt idx="1">
                  <c:v>8.9094526978881756</c:v>
                </c:pt>
                <c:pt idx="2">
                  <c:v>12.700221706918541</c:v>
                </c:pt>
                <c:pt idx="3">
                  <c:v>1.7189085173848488</c:v>
                </c:pt>
                <c:pt idx="4">
                  <c:v>2.5587916342139336</c:v>
                </c:pt>
                <c:pt idx="5">
                  <c:v>5.2862926799588701</c:v>
                </c:pt>
                <c:pt idx="6">
                  <c:v>6.0996727060710354</c:v>
                </c:pt>
                <c:pt idx="7">
                  <c:v>6.3880517424333743</c:v>
                </c:pt>
                <c:pt idx="8">
                  <c:v>12.79467183204031</c:v>
                </c:pt>
                <c:pt idx="9">
                  <c:v>18.538449362246961</c:v>
                </c:pt>
                <c:pt idx="10">
                  <c:v>25.99843614032811</c:v>
                </c:pt>
                <c:pt idx="11">
                  <c:v>30.908328248167081</c:v>
                </c:pt>
                <c:pt idx="12">
                  <c:v>33.83899462531113</c:v>
                </c:pt>
                <c:pt idx="13">
                  <c:v>34.694049249239029</c:v>
                </c:pt>
                <c:pt idx="14">
                  <c:v>36.828344409042884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9D-4458-8BDB-1022D5ACF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20977536"/>
        <c:axId val="-720974272"/>
      </c:lineChart>
      <c:catAx>
        <c:axId val="-72097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-720974272"/>
        <c:crosses val="autoZero"/>
        <c:auto val="1"/>
        <c:lblAlgn val="ctr"/>
        <c:lblOffset val="100"/>
        <c:noMultiLvlLbl val="0"/>
      </c:catAx>
      <c:valAx>
        <c:axId val="-72097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-72097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1</xdr:row>
      <xdr:rowOff>38100</xdr:rowOff>
    </xdr:from>
    <xdr:to>
      <xdr:col>20</xdr:col>
      <xdr:colOff>581025</xdr:colOff>
      <xdr:row>7</xdr:row>
      <xdr:rowOff>76200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1</xdr:row>
      <xdr:rowOff>76200</xdr:rowOff>
    </xdr:from>
    <xdr:to>
      <xdr:col>18</xdr:col>
      <xdr:colOff>180975</xdr:colOff>
      <xdr:row>15</xdr:row>
      <xdr:rowOff>47625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0</xdr:row>
      <xdr:rowOff>180975</xdr:rowOff>
    </xdr:from>
    <xdr:to>
      <xdr:col>11</xdr:col>
      <xdr:colOff>539562</xdr:colOff>
      <xdr:row>8</xdr:row>
      <xdr:rowOff>11766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12</xdr:row>
      <xdr:rowOff>19050</xdr:rowOff>
    </xdr:from>
    <xdr:to>
      <xdr:col>8</xdr:col>
      <xdr:colOff>496421</xdr:colOff>
      <xdr:row>22</xdr:row>
      <xdr:rowOff>54628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47625</xdr:colOff>
      <xdr:row>14</xdr:row>
      <xdr:rowOff>76200</xdr:rowOff>
    </xdr:from>
    <xdr:to>
      <xdr:col>17</xdr:col>
      <xdr:colOff>437644</xdr:colOff>
      <xdr:row>18</xdr:row>
      <xdr:rowOff>9433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53225" y="3476625"/>
          <a:ext cx="4047619" cy="733333"/>
        </a:xfrm>
        <a:prstGeom prst="rect">
          <a:avLst/>
        </a:prstGeom>
      </xdr:spPr>
    </xdr:pic>
    <xdr:clientData/>
  </xdr:twoCellAnchor>
  <xdr:twoCellAnchor>
    <xdr:from>
      <xdr:col>14</xdr:col>
      <xdr:colOff>409575</xdr:colOff>
      <xdr:row>8</xdr:row>
      <xdr:rowOff>190500</xdr:rowOff>
    </xdr:from>
    <xdr:to>
      <xdr:col>14</xdr:col>
      <xdr:colOff>523875</xdr:colOff>
      <xdr:row>11</xdr:row>
      <xdr:rowOff>66675</xdr:rowOff>
    </xdr:to>
    <xdr:cxnSp macro="">
      <xdr:nvCxnSpPr>
        <xdr:cNvPr id="4" name="直線單箭頭接點 3"/>
        <xdr:cNvCxnSpPr/>
      </xdr:nvCxnSpPr>
      <xdr:spPr>
        <a:xfrm>
          <a:off x="8943975" y="2390775"/>
          <a:ext cx="114300" cy="476250"/>
        </a:xfrm>
        <a:prstGeom prst="straightConnector1">
          <a:avLst/>
        </a:prstGeom>
        <a:ln w="28575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</xdr:row>
      <xdr:rowOff>28575</xdr:rowOff>
    </xdr:from>
    <xdr:to>
      <xdr:col>11</xdr:col>
      <xdr:colOff>2082613</xdr:colOff>
      <xdr:row>7</xdr:row>
      <xdr:rowOff>38660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590550</xdr:colOff>
      <xdr:row>1</xdr:row>
      <xdr:rowOff>142875</xdr:rowOff>
    </xdr:from>
    <xdr:to>
      <xdr:col>13</xdr:col>
      <xdr:colOff>2649071</xdr:colOff>
      <xdr:row>5</xdr:row>
      <xdr:rowOff>122703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7</xdr:row>
      <xdr:rowOff>114300</xdr:rowOff>
    </xdr:from>
    <xdr:to>
      <xdr:col>13</xdr:col>
      <xdr:colOff>2999695</xdr:colOff>
      <xdr:row>8</xdr:row>
      <xdr:rowOff>171418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1914525"/>
          <a:ext cx="5438095" cy="25714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11</xdr:col>
      <xdr:colOff>457200</xdr:colOff>
      <xdr:row>5</xdr:row>
      <xdr:rowOff>9525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454713</xdr:colOff>
      <xdr:row>1</xdr:row>
      <xdr:rowOff>19050</xdr:rowOff>
    </xdr:from>
    <xdr:to>
      <xdr:col>12</xdr:col>
      <xdr:colOff>504684</xdr:colOff>
      <xdr:row>7</xdr:row>
      <xdr:rowOff>104419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79513" y="219075"/>
          <a:ext cx="659571" cy="168556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123825</xdr:colOff>
      <xdr:row>2</xdr:row>
      <xdr:rowOff>0</xdr:rowOff>
    </xdr:from>
    <xdr:to>
      <xdr:col>13</xdr:col>
      <xdr:colOff>580892</xdr:colOff>
      <xdr:row>7</xdr:row>
      <xdr:rowOff>18898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8225" y="400050"/>
          <a:ext cx="1066667" cy="121904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</xdr:row>
      <xdr:rowOff>0</xdr:rowOff>
    </xdr:from>
    <xdr:to>
      <xdr:col>12</xdr:col>
      <xdr:colOff>115421</xdr:colOff>
      <xdr:row>6</xdr:row>
      <xdr:rowOff>162486</xdr:rowOff>
    </xdr:to>
    <xdr:graphicFrame macro="">
      <xdr:nvGraphicFramePr>
        <xdr:cNvPr id="3" name="圖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400050</xdr:colOff>
      <xdr:row>2</xdr:row>
      <xdr:rowOff>190500</xdr:rowOff>
    </xdr:from>
    <xdr:to>
      <xdr:col>17</xdr:col>
      <xdr:colOff>69388</xdr:colOff>
      <xdr:row>14</xdr:row>
      <xdr:rowOff>152400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0" y="590550"/>
          <a:ext cx="6984538" cy="27622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542925</xdr:colOff>
      <xdr:row>1</xdr:row>
      <xdr:rowOff>38100</xdr:rowOff>
    </xdr:from>
    <xdr:to>
      <xdr:col>15</xdr:col>
      <xdr:colOff>133350</xdr:colOff>
      <xdr:row>7</xdr:row>
      <xdr:rowOff>152400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171450</xdr:rowOff>
    </xdr:from>
    <xdr:to>
      <xdr:col>9</xdr:col>
      <xdr:colOff>247649</xdr:colOff>
      <xdr:row>43</xdr:row>
      <xdr:rowOff>148474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0"/>
          <a:ext cx="7534274" cy="7377949"/>
        </a:xfrm>
        <a:prstGeom prst="rect">
          <a:avLst/>
        </a:prstGeom>
      </xdr:spPr>
    </xdr:pic>
    <xdr:clientData/>
  </xdr:twoCellAnchor>
  <xdr:twoCellAnchor>
    <xdr:from>
      <xdr:col>8</xdr:col>
      <xdr:colOff>342900</xdr:colOff>
      <xdr:row>8</xdr:row>
      <xdr:rowOff>38100</xdr:rowOff>
    </xdr:from>
    <xdr:to>
      <xdr:col>9</xdr:col>
      <xdr:colOff>933450</xdr:colOff>
      <xdr:row>9</xdr:row>
      <xdr:rowOff>95250</xdr:rowOff>
    </xdr:to>
    <xdr:cxnSp macro="">
      <xdr:nvCxnSpPr>
        <xdr:cNvPr id="3" name="直線單箭頭接點 2"/>
        <xdr:cNvCxnSpPr/>
      </xdr:nvCxnSpPr>
      <xdr:spPr>
        <a:xfrm>
          <a:off x="6819900" y="838200"/>
          <a:ext cx="1400175" cy="257175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</xdr:colOff>
      <xdr:row>8</xdr:row>
      <xdr:rowOff>171450</xdr:rowOff>
    </xdr:from>
    <xdr:to>
      <xdr:col>13</xdr:col>
      <xdr:colOff>390525</xdr:colOff>
      <xdr:row>10</xdr:row>
      <xdr:rowOff>123825</xdr:rowOff>
    </xdr:to>
    <xdr:sp macro="" textlink="">
      <xdr:nvSpPr>
        <xdr:cNvPr id="4" name="文字方塊 3"/>
        <xdr:cNvSpPr txBox="1"/>
      </xdr:nvSpPr>
      <xdr:spPr>
        <a:xfrm>
          <a:off x="8248650" y="971550"/>
          <a:ext cx="2600325" cy="352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>
              <a:solidFill>
                <a:schemeClr val="tx1"/>
              </a:solidFill>
            </a:rPr>
            <a:t>待退品的数据：待退</a:t>
          </a:r>
          <a:r>
            <a:rPr lang="en-US" altLang="zh-CN" sz="1200">
              <a:solidFill>
                <a:schemeClr val="tx1"/>
              </a:solidFill>
            </a:rPr>
            <a:t>RTV</a:t>
          </a:r>
          <a:r>
            <a:rPr lang="zh-CN" altLang="en-US" sz="1200">
              <a:solidFill>
                <a:schemeClr val="tx1"/>
              </a:solidFill>
            </a:rPr>
            <a:t>仓</a:t>
          </a:r>
          <a:r>
            <a:rPr lang="en-US" altLang="zh-CN" sz="1200">
              <a:solidFill>
                <a:schemeClr val="tx1"/>
              </a:solidFill>
            </a:rPr>
            <a:t>+</a:t>
          </a:r>
          <a:r>
            <a:rPr lang="zh-CN" altLang="en-US" sz="1200">
              <a:solidFill>
                <a:schemeClr val="tx1"/>
              </a:solidFill>
            </a:rPr>
            <a:t>报废仓</a:t>
          </a:r>
          <a:endParaRPr lang="zh-TW" alt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323850</xdr:colOff>
      <xdr:row>8</xdr:row>
      <xdr:rowOff>133350</xdr:rowOff>
    </xdr:from>
    <xdr:to>
      <xdr:col>10</xdr:col>
      <xdr:colOff>38100</xdr:colOff>
      <xdr:row>12</xdr:row>
      <xdr:rowOff>38100</xdr:rowOff>
    </xdr:to>
    <xdr:cxnSp macro="">
      <xdr:nvCxnSpPr>
        <xdr:cNvPr id="5" name="直線單箭頭接點 4"/>
        <xdr:cNvCxnSpPr/>
      </xdr:nvCxnSpPr>
      <xdr:spPr>
        <a:xfrm>
          <a:off x="5991225" y="933450"/>
          <a:ext cx="2276475" cy="70485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38100</xdr:colOff>
      <xdr:row>11</xdr:row>
      <xdr:rowOff>123825</xdr:rowOff>
    </xdr:from>
    <xdr:to>
      <xdr:col>13</xdr:col>
      <xdr:colOff>409575</xdr:colOff>
      <xdr:row>13</xdr:row>
      <xdr:rowOff>76200</xdr:rowOff>
    </xdr:to>
    <xdr:sp macro="" textlink="">
      <xdr:nvSpPr>
        <xdr:cNvPr id="6" name="文字方塊 5"/>
        <xdr:cNvSpPr txBox="1"/>
      </xdr:nvSpPr>
      <xdr:spPr>
        <a:xfrm>
          <a:off x="8267700" y="1524000"/>
          <a:ext cx="2600325" cy="352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>
              <a:solidFill>
                <a:schemeClr val="tx1"/>
              </a:solidFill>
            </a:rPr>
            <a:t>不良品的数据：不良品仓</a:t>
          </a:r>
          <a:endParaRPr lang="zh-TW" alt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323850</xdr:colOff>
      <xdr:row>7</xdr:row>
      <xdr:rowOff>161925</xdr:rowOff>
    </xdr:from>
    <xdr:to>
      <xdr:col>10</xdr:col>
      <xdr:colOff>114300</xdr:colOff>
      <xdr:row>16</xdr:row>
      <xdr:rowOff>104775</xdr:rowOff>
    </xdr:to>
    <xdr:cxnSp macro="">
      <xdr:nvCxnSpPr>
        <xdr:cNvPr id="7" name="直線單箭頭接點 6"/>
        <xdr:cNvCxnSpPr/>
      </xdr:nvCxnSpPr>
      <xdr:spPr>
        <a:xfrm>
          <a:off x="5181600" y="762000"/>
          <a:ext cx="3162300" cy="1743075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133350</xdr:colOff>
      <xdr:row>15</xdr:row>
      <xdr:rowOff>133350</xdr:rowOff>
    </xdr:from>
    <xdr:to>
      <xdr:col>15</xdr:col>
      <xdr:colOff>219075</xdr:colOff>
      <xdr:row>19</xdr:row>
      <xdr:rowOff>190500</xdr:rowOff>
    </xdr:to>
    <xdr:sp macro="" textlink="">
      <xdr:nvSpPr>
        <xdr:cNvPr id="8" name="文字方塊 7"/>
        <xdr:cNvSpPr txBox="1"/>
      </xdr:nvSpPr>
      <xdr:spPr>
        <a:xfrm>
          <a:off x="8362950" y="3133725"/>
          <a:ext cx="3533775" cy="85725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>
              <a:solidFill>
                <a:schemeClr val="tx1"/>
              </a:solidFill>
            </a:rPr>
            <a:t>良品数据：客户责任仓</a:t>
          </a:r>
          <a:r>
            <a:rPr lang="en-US" altLang="zh-CN" sz="1200">
              <a:solidFill>
                <a:schemeClr val="tx1"/>
              </a:solidFill>
            </a:rPr>
            <a:t>+EOL</a:t>
          </a:r>
          <a:r>
            <a:rPr lang="zh-CN" altLang="en-US" sz="1200">
              <a:solidFill>
                <a:schemeClr val="tx1"/>
              </a:solidFill>
            </a:rPr>
            <a:t>仓</a:t>
          </a:r>
          <a:r>
            <a:rPr lang="en-US" altLang="zh-CN" sz="1200">
              <a:solidFill>
                <a:schemeClr val="tx1"/>
              </a:solidFill>
            </a:rPr>
            <a:t>+</a:t>
          </a:r>
          <a:r>
            <a:rPr lang="zh-CN" altLang="en-US" sz="1200">
              <a:solidFill>
                <a:schemeClr val="tx1"/>
              </a:solidFill>
            </a:rPr>
            <a:t>良品仓</a:t>
          </a:r>
          <a:endParaRPr lang="en-US" altLang="zh-CN" sz="1200">
            <a:solidFill>
              <a:schemeClr val="tx1"/>
            </a:solidFill>
          </a:endParaRPr>
        </a:p>
        <a:p>
          <a:endParaRPr lang="en-US" altLang="zh-TW" sz="1200">
            <a:solidFill>
              <a:schemeClr val="tx1"/>
            </a:solidFill>
          </a:endParaRPr>
        </a:p>
        <a:p>
          <a:r>
            <a:rPr lang="zh-CN" altLang="en-US" sz="1200">
              <a:solidFill>
                <a:schemeClr val="tx1"/>
              </a:solidFill>
            </a:rPr>
            <a:t>区分小于</a:t>
          </a:r>
          <a:r>
            <a:rPr lang="en-US" altLang="zh-CN" sz="1200">
              <a:solidFill>
                <a:schemeClr val="tx1"/>
              </a:solidFill>
            </a:rPr>
            <a:t>1</a:t>
          </a:r>
          <a:r>
            <a:rPr lang="zh-CN" altLang="en-US" sz="1200">
              <a:solidFill>
                <a:schemeClr val="tx1"/>
              </a:solidFill>
            </a:rPr>
            <a:t>周和大于</a:t>
          </a:r>
          <a:r>
            <a:rPr lang="en-US" altLang="zh-CN" sz="1200">
              <a:solidFill>
                <a:schemeClr val="tx1"/>
              </a:solidFill>
            </a:rPr>
            <a:t>1</a:t>
          </a:r>
          <a:r>
            <a:rPr lang="zh-CN" altLang="en-US" sz="1200">
              <a:solidFill>
                <a:schemeClr val="tx1"/>
              </a:solidFill>
            </a:rPr>
            <a:t>周按照库龄来计算，</a:t>
          </a:r>
          <a:r>
            <a:rPr lang="zh-CN" altLang="en-US" sz="1200">
              <a:solidFill>
                <a:srgbClr val="FF0000"/>
              </a:solidFill>
            </a:rPr>
            <a:t>要減去</a:t>
          </a:r>
          <a:r>
            <a:rPr lang="en-US" altLang="zh-CN" sz="1200">
              <a:solidFill>
                <a:srgbClr val="FF0000"/>
              </a:solidFill>
            </a:rPr>
            <a:t>Slow moving</a:t>
          </a:r>
        </a:p>
      </xdr:txBody>
    </xdr:sp>
    <xdr:clientData/>
  </xdr:twoCellAnchor>
  <xdr:twoCellAnchor>
    <xdr:from>
      <xdr:col>5</xdr:col>
      <xdr:colOff>400050</xdr:colOff>
      <xdr:row>17</xdr:row>
      <xdr:rowOff>38100</xdr:rowOff>
    </xdr:from>
    <xdr:to>
      <xdr:col>10</xdr:col>
      <xdr:colOff>95250</xdr:colOff>
      <xdr:row>21</xdr:row>
      <xdr:rowOff>9525</xdr:rowOff>
    </xdr:to>
    <xdr:cxnSp macro="">
      <xdr:nvCxnSpPr>
        <xdr:cNvPr id="9" name="直線單箭頭接點 8"/>
        <xdr:cNvCxnSpPr/>
      </xdr:nvCxnSpPr>
      <xdr:spPr>
        <a:xfrm>
          <a:off x="4448175" y="2638425"/>
          <a:ext cx="3876675" cy="771525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123825</xdr:colOff>
      <xdr:row>20</xdr:row>
      <xdr:rowOff>47625</xdr:rowOff>
    </xdr:from>
    <xdr:to>
      <xdr:col>13</xdr:col>
      <xdr:colOff>495300</xdr:colOff>
      <xdr:row>22</xdr:row>
      <xdr:rowOff>0</xdr:rowOff>
    </xdr:to>
    <xdr:sp macro="" textlink="">
      <xdr:nvSpPr>
        <xdr:cNvPr id="10" name="文字方塊 9"/>
        <xdr:cNvSpPr txBox="1"/>
      </xdr:nvSpPr>
      <xdr:spPr>
        <a:xfrm>
          <a:off x="8353425" y="3248025"/>
          <a:ext cx="2600325" cy="352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200">
              <a:solidFill>
                <a:schemeClr val="tx1"/>
              </a:solidFill>
            </a:rPr>
            <a:t>GAP</a:t>
          </a:r>
          <a:r>
            <a:rPr lang="zh-CN" altLang="en-US" sz="1200">
              <a:solidFill>
                <a:schemeClr val="tx1"/>
              </a:solidFill>
            </a:rPr>
            <a:t>计算逻辑：本周数据</a:t>
          </a:r>
          <a:r>
            <a:rPr lang="en-US" altLang="zh-CN" sz="1200">
              <a:solidFill>
                <a:schemeClr val="tx1"/>
              </a:solidFill>
            </a:rPr>
            <a:t>-</a:t>
          </a:r>
          <a:r>
            <a:rPr lang="zh-CN" altLang="en-US" sz="1200">
              <a:solidFill>
                <a:schemeClr val="tx1"/>
              </a:solidFill>
            </a:rPr>
            <a:t>上周数据</a:t>
          </a:r>
          <a:endParaRPr lang="zh-TW" alt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238125</xdr:colOff>
      <xdr:row>23</xdr:row>
      <xdr:rowOff>9525</xdr:rowOff>
    </xdr:from>
    <xdr:to>
      <xdr:col>10</xdr:col>
      <xdr:colOff>742950</xdr:colOff>
      <xdr:row>26</xdr:row>
      <xdr:rowOff>180975</xdr:rowOff>
    </xdr:to>
    <xdr:cxnSp macro="">
      <xdr:nvCxnSpPr>
        <xdr:cNvPr id="11" name="直線單箭頭接點 10"/>
        <xdr:cNvCxnSpPr/>
      </xdr:nvCxnSpPr>
      <xdr:spPr>
        <a:xfrm>
          <a:off x="5095875" y="3810000"/>
          <a:ext cx="3876675" cy="771525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733425</xdr:colOff>
      <xdr:row>25</xdr:row>
      <xdr:rowOff>180975</xdr:rowOff>
    </xdr:from>
    <xdr:to>
      <xdr:col>14</xdr:col>
      <xdr:colOff>495300</xdr:colOff>
      <xdr:row>28</xdr:row>
      <xdr:rowOff>152400</xdr:rowOff>
    </xdr:to>
    <xdr:sp macro="" textlink="">
      <xdr:nvSpPr>
        <xdr:cNvPr id="12" name="文字方塊 11"/>
        <xdr:cNvSpPr txBox="1"/>
      </xdr:nvSpPr>
      <xdr:spPr>
        <a:xfrm>
          <a:off x="8963025" y="4381500"/>
          <a:ext cx="2600325" cy="57150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>
              <a:solidFill>
                <a:schemeClr val="tx1"/>
              </a:solidFill>
            </a:rPr>
            <a:t>比例计算逻辑：各</a:t>
          </a:r>
          <a:r>
            <a:rPr lang="en-US" altLang="zh-CN" sz="1200">
              <a:solidFill>
                <a:schemeClr val="tx1"/>
              </a:solidFill>
            </a:rPr>
            <a:t>BU</a:t>
          </a:r>
          <a:r>
            <a:rPr lang="zh-CN" altLang="en-US" sz="1200">
              <a:solidFill>
                <a:schemeClr val="tx1"/>
              </a:solidFill>
            </a:rPr>
            <a:t>制程库存加总数据</a:t>
          </a:r>
          <a:r>
            <a:rPr lang="en-US" altLang="zh-CN" sz="1200">
              <a:solidFill>
                <a:schemeClr val="tx1"/>
              </a:solidFill>
            </a:rPr>
            <a:t>/</a:t>
          </a:r>
          <a:r>
            <a:rPr lang="zh-CN" altLang="en-US" sz="1200">
              <a:solidFill>
                <a:schemeClr val="tx1"/>
              </a:solidFill>
            </a:rPr>
            <a:t>各</a:t>
          </a:r>
          <a:r>
            <a:rPr lang="en-US" altLang="zh-CN" sz="1200">
              <a:solidFill>
                <a:schemeClr val="tx1"/>
              </a:solidFill>
            </a:rPr>
            <a:t>BU</a:t>
          </a:r>
          <a:r>
            <a:rPr lang="zh-CN" altLang="en-US" sz="1200">
              <a:solidFill>
                <a:schemeClr val="tx1"/>
              </a:solidFill>
            </a:rPr>
            <a:t>总库存数据</a:t>
          </a:r>
          <a:endParaRPr lang="zh-TW" alt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771525</xdr:colOff>
      <xdr:row>27</xdr:row>
      <xdr:rowOff>85725</xdr:rowOff>
    </xdr:from>
    <xdr:to>
      <xdr:col>11</xdr:col>
      <xdr:colOff>38100</xdr:colOff>
      <xdr:row>30</xdr:row>
      <xdr:rowOff>190500</xdr:rowOff>
    </xdr:to>
    <xdr:cxnSp macro="">
      <xdr:nvCxnSpPr>
        <xdr:cNvPr id="13" name="直線單箭頭接點 12"/>
        <xdr:cNvCxnSpPr/>
      </xdr:nvCxnSpPr>
      <xdr:spPr>
        <a:xfrm>
          <a:off x="7248525" y="4686300"/>
          <a:ext cx="1828800" cy="70485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95250</xdr:colOff>
      <xdr:row>30</xdr:row>
      <xdr:rowOff>57150</xdr:rowOff>
    </xdr:from>
    <xdr:to>
      <xdr:col>15</xdr:col>
      <xdr:colOff>57150</xdr:colOff>
      <xdr:row>32</xdr:row>
      <xdr:rowOff>9525</xdr:rowOff>
    </xdr:to>
    <xdr:sp macro="" textlink="">
      <xdr:nvSpPr>
        <xdr:cNvPr id="14" name="文字方塊 13"/>
        <xdr:cNvSpPr txBox="1"/>
      </xdr:nvSpPr>
      <xdr:spPr>
        <a:xfrm>
          <a:off x="9134475" y="5257800"/>
          <a:ext cx="2600325" cy="352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>
              <a:solidFill>
                <a:schemeClr val="tx1"/>
              </a:solidFill>
            </a:rPr>
            <a:t>小计计算逻辑：不良品</a:t>
          </a:r>
          <a:r>
            <a:rPr lang="en-US" altLang="zh-CN" sz="1200">
              <a:solidFill>
                <a:schemeClr val="tx1"/>
              </a:solidFill>
            </a:rPr>
            <a:t>+</a:t>
          </a:r>
          <a:r>
            <a:rPr lang="zh-CN" altLang="en-US" sz="1200">
              <a:solidFill>
                <a:schemeClr val="tx1"/>
              </a:solidFill>
            </a:rPr>
            <a:t>待退品</a:t>
          </a:r>
          <a:endParaRPr lang="zh-TW" alt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38100</xdr:colOff>
      <xdr:row>28</xdr:row>
      <xdr:rowOff>38100</xdr:rowOff>
    </xdr:from>
    <xdr:to>
      <xdr:col>10</xdr:col>
      <xdr:colOff>695325</xdr:colOff>
      <xdr:row>35</xdr:row>
      <xdr:rowOff>38100</xdr:rowOff>
    </xdr:to>
    <xdr:cxnSp macro="">
      <xdr:nvCxnSpPr>
        <xdr:cNvPr id="15" name="直線單箭頭接點 14"/>
        <xdr:cNvCxnSpPr/>
      </xdr:nvCxnSpPr>
      <xdr:spPr>
        <a:xfrm>
          <a:off x="3276600" y="4838700"/>
          <a:ext cx="5648325" cy="1400175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723900</xdr:colOff>
      <xdr:row>34</xdr:row>
      <xdr:rowOff>104775</xdr:rowOff>
    </xdr:from>
    <xdr:to>
      <xdr:col>14</xdr:col>
      <xdr:colOff>485775</xdr:colOff>
      <xdr:row>36</xdr:row>
      <xdr:rowOff>57150</xdr:rowOff>
    </xdr:to>
    <xdr:sp macro="" textlink="">
      <xdr:nvSpPr>
        <xdr:cNvPr id="16" name="文字方塊 15"/>
        <xdr:cNvSpPr txBox="1"/>
      </xdr:nvSpPr>
      <xdr:spPr>
        <a:xfrm>
          <a:off x="8953500" y="6105525"/>
          <a:ext cx="2600325" cy="352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200">
              <a:solidFill>
                <a:schemeClr val="tx1"/>
              </a:solidFill>
            </a:rPr>
            <a:t>DOS</a:t>
          </a:r>
          <a:r>
            <a:rPr lang="zh-CN" altLang="en-US" sz="1200">
              <a:solidFill>
                <a:schemeClr val="tx1"/>
              </a:solidFill>
            </a:rPr>
            <a:t>计算逻辑：库存</a:t>
          </a:r>
          <a:r>
            <a:rPr lang="en-US" altLang="zh-CN" sz="1200">
              <a:solidFill>
                <a:schemeClr val="tx1"/>
              </a:solidFill>
            </a:rPr>
            <a:t>/COGS*28</a:t>
          </a:r>
          <a:endParaRPr lang="zh-TW" altLang="en-US" sz="1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15</xdr:col>
      <xdr:colOff>466725</xdr:colOff>
      <xdr:row>6</xdr:row>
      <xdr:rowOff>123825</xdr:rowOff>
    </xdr:from>
    <xdr:to>
      <xdr:col>25</xdr:col>
      <xdr:colOff>336312</xdr:colOff>
      <xdr:row>18</xdr:row>
      <xdr:rowOff>50859</xdr:rowOff>
    </xdr:to>
    <xdr:pic>
      <xdr:nvPicPr>
        <xdr:cNvPr id="17" name="圖片 1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44375" y="523875"/>
          <a:ext cx="5965587" cy="2327334"/>
        </a:xfrm>
        <a:prstGeom prst="rect">
          <a:avLst/>
        </a:prstGeom>
      </xdr:spPr>
    </xdr:pic>
    <xdr:clientData/>
  </xdr:twoCellAnchor>
  <xdr:twoCellAnchor>
    <xdr:from>
      <xdr:col>19</xdr:col>
      <xdr:colOff>57150</xdr:colOff>
      <xdr:row>9</xdr:row>
      <xdr:rowOff>76200</xdr:rowOff>
    </xdr:from>
    <xdr:to>
      <xdr:col>21</xdr:col>
      <xdr:colOff>200025</xdr:colOff>
      <xdr:row>21</xdr:row>
      <xdr:rowOff>161925</xdr:rowOff>
    </xdr:to>
    <xdr:cxnSp macro="">
      <xdr:nvCxnSpPr>
        <xdr:cNvPr id="18" name="直線單箭頭接點 17"/>
        <xdr:cNvCxnSpPr/>
      </xdr:nvCxnSpPr>
      <xdr:spPr>
        <a:xfrm flipH="1">
          <a:off x="14173200" y="1076325"/>
          <a:ext cx="1362075" cy="2486025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38100</xdr:colOff>
      <xdr:row>21</xdr:row>
      <xdr:rowOff>104775</xdr:rowOff>
    </xdr:from>
    <xdr:to>
      <xdr:col>22</xdr:col>
      <xdr:colOff>285750</xdr:colOff>
      <xdr:row>23</xdr:row>
      <xdr:rowOff>57150</xdr:rowOff>
    </xdr:to>
    <xdr:sp macro="" textlink="">
      <xdr:nvSpPr>
        <xdr:cNvPr id="19" name="文字方塊 18"/>
        <xdr:cNvSpPr txBox="1"/>
      </xdr:nvSpPr>
      <xdr:spPr>
        <a:xfrm>
          <a:off x="12934950" y="3505200"/>
          <a:ext cx="3295650" cy="352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>
              <a:solidFill>
                <a:schemeClr val="tx1"/>
              </a:solidFill>
            </a:rPr>
            <a:t>计算逻辑：所有</a:t>
          </a:r>
          <a:r>
            <a:rPr lang="en-US" altLang="zh-CN" sz="1200">
              <a:solidFill>
                <a:schemeClr val="tx1"/>
              </a:solidFill>
            </a:rPr>
            <a:t>BU</a:t>
          </a:r>
          <a:r>
            <a:rPr lang="zh-CN" altLang="en-US" sz="1200">
              <a:solidFill>
                <a:schemeClr val="tx1"/>
              </a:solidFill>
            </a:rPr>
            <a:t>的</a:t>
          </a:r>
          <a:r>
            <a:rPr lang="en-US" altLang="zh-CN" sz="1200">
              <a:solidFill>
                <a:schemeClr val="tx1"/>
              </a:solidFill>
            </a:rPr>
            <a:t>RM</a:t>
          </a:r>
          <a:r>
            <a:rPr lang="zh-CN" altLang="en-US" sz="1200">
              <a:solidFill>
                <a:schemeClr val="tx1"/>
              </a:solidFill>
            </a:rPr>
            <a:t>相加，以此类推</a:t>
          </a:r>
          <a:endParaRPr lang="zh-TW" alt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57150</xdr:colOff>
      <xdr:row>17</xdr:row>
      <xdr:rowOff>66675</xdr:rowOff>
    </xdr:from>
    <xdr:to>
      <xdr:col>24</xdr:col>
      <xdr:colOff>190501</xdr:colOff>
      <xdr:row>25</xdr:row>
      <xdr:rowOff>152400</xdr:rowOff>
    </xdr:to>
    <xdr:cxnSp macro="">
      <xdr:nvCxnSpPr>
        <xdr:cNvPr id="20" name="直線單箭頭接點 19"/>
        <xdr:cNvCxnSpPr/>
      </xdr:nvCxnSpPr>
      <xdr:spPr>
        <a:xfrm flipH="1">
          <a:off x="16611600" y="2667000"/>
          <a:ext cx="742951" cy="1685925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514350</xdr:colOff>
      <xdr:row>25</xdr:row>
      <xdr:rowOff>171450</xdr:rowOff>
    </xdr:from>
    <xdr:to>
      <xdr:col>24</xdr:col>
      <xdr:colOff>152400</xdr:colOff>
      <xdr:row>27</xdr:row>
      <xdr:rowOff>123825</xdr:rowOff>
    </xdr:to>
    <xdr:sp macro="" textlink="">
      <xdr:nvSpPr>
        <xdr:cNvPr id="21" name="文字方塊 20"/>
        <xdr:cNvSpPr txBox="1"/>
      </xdr:nvSpPr>
      <xdr:spPr>
        <a:xfrm>
          <a:off x="14020800" y="4371975"/>
          <a:ext cx="3295650" cy="352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>
              <a:solidFill>
                <a:schemeClr val="tx1"/>
              </a:solidFill>
            </a:rPr>
            <a:t>制程总数</a:t>
          </a:r>
          <a:r>
            <a:rPr lang="en-US" altLang="zh-CN" sz="1200">
              <a:solidFill>
                <a:schemeClr val="tx1"/>
              </a:solidFill>
            </a:rPr>
            <a:t>(</a:t>
          </a:r>
          <a:r>
            <a:rPr lang="zh-CN" altLang="en-US" sz="1200">
              <a:solidFill>
                <a:schemeClr val="tx1"/>
              </a:solidFill>
            </a:rPr>
            <a:t>待退品）</a:t>
          </a:r>
          <a:r>
            <a:rPr lang="en-US" altLang="zh-CN" sz="1200">
              <a:solidFill>
                <a:schemeClr val="tx1"/>
              </a:solidFill>
            </a:rPr>
            <a:t>/</a:t>
          </a:r>
          <a:r>
            <a:rPr lang="zh-CN" altLang="en-US" sz="1200">
              <a:solidFill>
                <a:schemeClr val="tx1"/>
              </a:solidFill>
            </a:rPr>
            <a:t>总库存</a:t>
          </a:r>
          <a:endParaRPr lang="zh-TW" alt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723900</xdr:colOff>
      <xdr:row>42</xdr:row>
      <xdr:rowOff>85725</xdr:rowOff>
    </xdr:from>
    <xdr:to>
      <xdr:col>10</xdr:col>
      <xdr:colOff>581025</xdr:colOff>
      <xdr:row>45</xdr:row>
      <xdr:rowOff>19050</xdr:rowOff>
    </xdr:to>
    <xdr:cxnSp macro="">
      <xdr:nvCxnSpPr>
        <xdr:cNvPr id="22" name="直線單箭頭接點 21"/>
        <xdr:cNvCxnSpPr/>
      </xdr:nvCxnSpPr>
      <xdr:spPr>
        <a:xfrm>
          <a:off x="3152775" y="7686675"/>
          <a:ext cx="5657850" cy="5334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619125</xdr:colOff>
      <xdr:row>44</xdr:row>
      <xdr:rowOff>104775</xdr:rowOff>
    </xdr:from>
    <xdr:to>
      <xdr:col>14</xdr:col>
      <xdr:colOff>381000</xdr:colOff>
      <xdr:row>46</xdr:row>
      <xdr:rowOff>57150</xdr:rowOff>
    </xdr:to>
    <xdr:sp macro="" textlink="">
      <xdr:nvSpPr>
        <xdr:cNvPr id="23" name="文字方塊 22"/>
        <xdr:cNvSpPr txBox="1"/>
      </xdr:nvSpPr>
      <xdr:spPr>
        <a:xfrm>
          <a:off x="8848725" y="8105775"/>
          <a:ext cx="2600325" cy="352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>
              <a:solidFill>
                <a:schemeClr val="tx1"/>
              </a:solidFill>
            </a:rPr>
            <a:t>总库存计算逻辑：</a:t>
          </a:r>
          <a:r>
            <a:rPr lang="en-US" altLang="zh-CN" sz="1200">
              <a:solidFill>
                <a:schemeClr val="tx1"/>
              </a:solidFill>
            </a:rPr>
            <a:t>IDM+EMS</a:t>
          </a:r>
          <a:endParaRPr lang="zh-TW" altLang="en-US" sz="1200">
            <a:solidFill>
              <a:schemeClr val="tx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aff%20meeting\&#26032;&#38656;&#27714;\COGS&#19978;&#20256;&#39044;&#3568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aff%20meeting\&#26032;&#38656;&#27714;\EMS1&#24266;&#22346;&#24211;&#23384;&#21487;&#35270;&#21270;\FIH&#24211;&#23384;&#25253;&#34920;&#31995;&#32479;&#21487;&#35270;&#2127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作表1"/>
      <sheetName val="库存分析1"/>
      <sheetName val="库存分析2"/>
    </sheetNames>
    <sheetDataSet>
      <sheetData sheetId="0"/>
      <sheetData sheetId="1">
        <row r="1">
          <cell r="B1" t="str">
            <v>WK01</v>
          </cell>
          <cell r="C1" t="str">
            <v>WK02</v>
          </cell>
          <cell r="D1" t="str">
            <v>WK03</v>
          </cell>
          <cell r="E1" t="str">
            <v>WK04</v>
          </cell>
          <cell r="F1" t="str">
            <v>WK05</v>
          </cell>
          <cell r="G1" t="str">
            <v>WK06</v>
          </cell>
          <cell r="H1" t="str">
            <v>WK07</v>
          </cell>
          <cell r="I1" t="str">
            <v>WK08</v>
          </cell>
          <cell r="J1" t="str">
            <v>WK09</v>
          </cell>
          <cell r="K1" t="str">
            <v>WK10</v>
          </cell>
          <cell r="L1" t="str">
            <v>WK11</v>
          </cell>
          <cell r="M1" t="str">
            <v>WK12</v>
          </cell>
          <cell r="N1" t="str">
            <v>WK13</v>
          </cell>
          <cell r="O1" t="str">
            <v>WK14</v>
          </cell>
          <cell r="P1" t="str">
            <v>WK15</v>
          </cell>
        </row>
        <row r="2">
          <cell r="A2" t="str">
            <v>库存</v>
          </cell>
          <cell r="B2">
            <v>6783.5196384261217</v>
          </cell>
          <cell r="C2">
            <v>8457.5771862585461</v>
          </cell>
          <cell r="D2">
            <v>7520.2900000000009</v>
          </cell>
          <cell r="E2">
            <v>1324.7798293624919</v>
          </cell>
          <cell r="F2">
            <v>946.09127760502633</v>
          </cell>
          <cell r="G2">
            <v>1242.2556504232127</v>
          </cell>
          <cell r="H2">
            <v>1433.3963977393601</v>
          </cell>
          <cell r="I2">
            <v>1501.1642095260322</v>
          </cell>
          <cell r="J2">
            <v>3006.6918993948816</v>
          </cell>
          <cell r="K2">
            <v>5680.6294424173684</v>
          </cell>
          <cell r="L2">
            <v>538.42528214446884</v>
          </cell>
          <cell r="M2">
            <v>40379.38788382354</v>
          </cell>
          <cell r="N2">
            <v>44208.08134956596</v>
          </cell>
          <cell r="O2">
            <v>45325.145399236426</v>
          </cell>
          <cell r="P2">
            <v>48113.440237583032</v>
          </cell>
        </row>
        <row r="3">
          <cell r="A3" t="str">
            <v>COGS</v>
          </cell>
          <cell r="B3">
            <v>36579.8774902718</v>
          </cell>
          <cell r="C3">
            <v>26579.8774902718</v>
          </cell>
          <cell r="D3">
            <v>16579.8774902718</v>
          </cell>
          <cell r="E3">
            <v>21579.8774902718</v>
          </cell>
          <cell r="F3">
            <v>10352.760036703299</v>
          </cell>
          <cell r="G3">
            <v>6579.8774902717996</v>
          </cell>
          <cell r="H3">
            <v>6579.8774902717996</v>
          </cell>
          <cell r="I3">
            <v>6579.8774902717996</v>
          </cell>
          <cell r="J3">
            <v>6579.8774902717996</v>
          </cell>
          <cell r="K3">
            <v>8579.8774902717996</v>
          </cell>
          <cell r="L3">
            <v>579.87749027179996</v>
          </cell>
          <cell r="M3">
            <v>36579.8774902718</v>
          </cell>
          <cell r="N3">
            <v>36579.8774902718</v>
          </cell>
          <cell r="O3">
            <v>36579.8774902718</v>
          </cell>
          <cell r="P3">
            <v>36579.8774902718</v>
          </cell>
        </row>
        <row r="4">
          <cell r="A4" t="str">
            <v>目标DOS</v>
          </cell>
          <cell r="B4">
            <v>9</v>
          </cell>
          <cell r="C4">
            <v>9</v>
          </cell>
          <cell r="D4">
            <v>9</v>
          </cell>
          <cell r="E4">
            <v>9</v>
          </cell>
          <cell r="F4">
            <v>9</v>
          </cell>
          <cell r="G4">
            <v>9</v>
          </cell>
          <cell r="H4">
            <v>9</v>
          </cell>
          <cell r="I4">
            <v>9</v>
          </cell>
          <cell r="J4">
            <v>9</v>
          </cell>
          <cell r="K4">
            <v>9</v>
          </cell>
          <cell r="L4">
            <v>9</v>
          </cell>
          <cell r="M4">
            <v>9</v>
          </cell>
          <cell r="N4">
            <v>9</v>
          </cell>
          <cell r="O4">
            <v>9</v>
          </cell>
          <cell r="P4">
            <v>9</v>
          </cell>
        </row>
        <row r="5">
          <cell r="A5" t="str">
            <v>实际DOS</v>
          </cell>
          <cell r="B5">
            <v>5</v>
          </cell>
          <cell r="C5">
            <v>8.9094526978881756</v>
          </cell>
          <cell r="D5">
            <v>12.700221706918541</v>
          </cell>
          <cell r="E5">
            <v>1.7189085173848488</v>
          </cell>
          <cell r="F5">
            <v>2.5587916342139336</v>
          </cell>
          <cell r="G5">
            <v>5.2862926799588701</v>
          </cell>
          <cell r="H5">
            <v>6.0996727060710354</v>
          </cell>
          <cell r="I5">
            <v>6.3880517424333743</v>
          </cell>
          <cell r="J5">
            <v>12.79467183204031</v>
          </cell>
          <cell r="K5">
            <v>18.538449362246961</v>
          </cell>
          <cell r="L5">
            <v>25.99843614032811</v>
          </cell>
          <cell r="M5">
            <v>30.908328248167081</v>
          </cell>
          <cell r="N5">
            <v>33.83899462531113</v>
          </cell>
          <cell r="O5">
            <v>34.694049249239029</v>
          </cell>
          <cell r="P5">
            <v>36.828344409042884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各BU模板"/>
      <sheetName val="页面"/>
      <sheetName val="页面2"/>
      <sheetName val="Summary"/>
      <sheetName val="BU Inventory"/>
      <sheetName val="工作表1"/>
    </sheetNames>
    <sheetDataSet>
      <sheetData sheetId="0"/>
      <sheetData sheetId="1"/>
      <sheetData sheetId="2"/>
      <sheetData sheetId="3"/>
      <sheetData sheetId="4">
        <row r="33">
          <cell r="C33" t="str">
            <v>WK1</v>
          </cell>
          <cell r="D33" t="str">
            <v>WK2</v>
          </cell>
          <cell r="E33" t="str">
            <v>WK3</v>
          </cell>
          <cell r="F33" t="str">
            <v>WK4</v>
          </cell>
          <cell r="G33" t="str">
            <v>WK5</v>
          </cell>
          <cell r="H33" t="str">
            <v>WK6</v>
          </cell>
          <cell r="I33" t="str">
            <v>WK7</v>
          </cell>
          <cell r="J33" t="str">
            <v>WK8</v>
          </cell>
          <cell r="K33" t="str">
            <v>WK9</v>
          </cell>
          <cell r="L33" t="str">
            <v>WK10</v>
          </cell>
        </row>
        <row r="38">
          <cell r="B38" t="str">
            <v>EOL</v>
          </cell>
          <cell r="C38">
            <v>500</v>
          </cell>
          <cell r="D38">
            <v>833.33333333333337</v>
          </cell>
          <cell r="E38">
            <v>1166.6666666666667</v>
          </cell>
          <cell r="F38">
            <v>1500.0000000000002</v>
          </cell>
          <cell r="G38">
            <v>1833.3333333333337</v>
          </cell>
          <cell r="H38">
            <v>2166.6666666666674</v>
          </cell>
          <cell r="I38">
            <v>2500.0000000000005</v>
          </cell>
          <cell r="J38">
            <v>2833.3333333333339</v>
          </cell>
          <cell r="K38">
            <v>3166.6666666666674</v>
          </cell>
          <cell r="L38">
            <v>3500.0000000000014</v>
          </cell>
        </row>
        <row r="39">
          <cell r="B39" t="str">
            <v>Slow moving</v>
          </cell>
          <cell r="C39">
            <v>1000</v>
          </cell>
          <cell r="D39">
            <v>1666.6666666666667</v>
          </cell>
          <cell r="E39">
            <v>2333.3333333333335</v>
          </cell>
          <cell r="F39">
            <v>3000.0000000000005</v>
          </cell>
          <cell r="G39">
            <v>3666.6666666666674</v>
          </cell>
          <cell r="H39">
            <v>4333.3333333333348</v>
          </cell>
          <cell r="I39">
            <v>5000.0000000000009</v>
          </cell>
          <cell r="J39">
            <v>5666.6666666666679</v>
          </cell>
          <cell r="K39">
            <v>6333.3333333333348</v>
          </cell>
          <cell r="L39">
            <v>7000.0000000000027</v>
          </cell>
        </row>
        <row r="40">
          <cell r="B40" t="str">
            <v>Defective</v>
          </cell>
          <cell r="C40">
            <v>100</v>
          </cell>
          <cell r="D40">
            <v>166.66666666666669</v>
          </cell>
          <cell r="E40">
            <v>233.33333333333334</v>
          </cell>
          <cell r="F40">
            <v>300.00000000000006</v>
          </cell>
          <cell r="G40">
            <v>366.66666666666674</v>
          </cell>
          <cell r="H40">
            <v>433.33333333333343</v>
          </cell>
          <cell r="I40">
            <v>500.00000000000006</v>
          </cell>
          <cell r="J40">
            <v>566.66666666666674</v>
          </cell>
          <cell r="K40">
            <v>633.33333333333348</v>
          </cell>
          <cell r="L40">
            <v>700.00000000000023</v>
          </cell>
        </row>
        <row r="41">
          <cell r="B41" t="str">
            <v>Customer</v>
          </cell>
          <cell r="C41">
            <v>50</v>
          </cell>
          <cell r="D41">
            <v>83.333333333333343</v>
          </cell>
          <cell r="E41">
            <v>116.66666666666667</v>
          </cell>
          <cell r="F41">
            <v>150.00000000000003</v>
          </cell>
          <cell r="G41">
            <v>183.33333333333337</v>
          </cell>
          <cell r="H41">
            <v>216.66666666666671</v>
          </cell>
          <cell r="I41">
            <v>250.00000000000003</v>
          </cell>
          <cell r="J41">
            <v>283.33333333333337</v>
          </cell>
          <cell r="K41">
            <v>316.66666666666674</v>
          </cell>
          <cell r="L41">
            <v>350.00000000000011</v>
          </cell>
        </row>
        <row r="42">
          <cell r="B42" t="str">
            <v>RTV</v>
          </cell>
          <cell r="C42">
            <v>100</v>
          </cell>
          <cell r="D42">
            <v>166.66666666666669</v>
          </cell>
          <cell r="E42">
            <v>233.33333333333334</v>
          </cell>
          <cell r="F42">
            <v>300.00000000000006</v>
          </cell>
          <cell r="G42">
            <v>366.66666666666674</v>
          </cell>
          <cell r="H42">
            <v>433.33333333333343</v>
          </cell>
          <cell r="I42">
            <v>500.00000000000006</v>
          </cell>
          <cell r="J42">
            <v>566.66666666666674</v>
          </cell>
          <cell r="K42">
            <v>633.33333333333348</v>
          </cell>
          <cell r="L42">
            <v>700.00000000000023</v>
          </cell>
        </row>
        <row r="43">
          <cell r="B43" t="str">
            <v>In Good</v>
          </cell>
          <cell r="C43">
            <v>1250</v>
          </cell>
          <cell r="D43">
            <v>2083.3333333333335</v>
          </cell>
          <cell r="E43">
            <v>2916.6666666666665</v>
          </cell>
          <cell r="F43">
            <v>3750</v>
          </cell>
          <cell r="G43">
            <v>4583.3333333333339</v>
          </cell>
          <cell r="H43">
            <v>5416.6666666666679</v>
          </cell>
          <cell r="I43">
            <v>6250.0000000000009</v>
          </cell>
          <cell r="J43">
            <v>7083.3333333333339</v>
          </cell>
          <cell r="K43">
            <v>7916.6666666666679</v>
          </cell>
          <cell r="L43">
            <v>8750.0000000000018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E27" sqref="E27"/>
    </sheetView>
  </sheetViews>
  <sheetFormatPr defaultRowHeight="15.75" x14ac:dyDescent="0.25"/>
  <cols>
    <col min="1" max="1" width="20.7109375" customWidth="1"/>
    <col min="2" max="2" width="26.42578125" customWidth="1"/>
    <col min="5" max="5" width="137.140625" customWidth="1"/>
  </cols>
  <sheetData>
    <row r="1" spans="1:5" x14ac:dyDescent="0.25">
      <c r="A1" s="26" t="s">
        <v>0</v>
      </c>
      <c r="B1" s="26"/>
      <c r="C1" s="26"/>
      <c r="D1" s="26"/>
      <c r="E1" s="26"/>
    </row>
    <row r="2" spans="1:5" x14ac:dyDescent="0.25">
      <c r="A2" s="26"/>
      <c r="B2" s="26"/>
      <c r="C2" s="26"/>
      <c r="D2" s="26"/>
      <c r="E2" s="26"/>
    </row>
    <row r="3" spans="1:5" x14ac:dyDescent="0.25">
      <c r="A3" s="27" t="s">
        <v>2</v>
      </c>
      <c r="B3" s="27"/>
      <c r="C3" s="27"/>
      <c r="D3" s="27"/>
      <c r="E3" s="27"/>
    </row>
    <row r="4" spans="1:5" x14ac:dyDescent="0.25">
      <c r="A4" s="27" t="s">
        <v>111</v>
      </c>
      <c r="B4" s="27"/>
      <c r="C4" s="27"/>
      <c r="D4" s="27"/>
      <c r="E4" s="27"/>
    </row>
    <row r="5" spans="1:5" x14ac:dyDescent="0.25">
      <c r="A5" s="28" t="s">
        <v>1</v>
      </c>
      <c r="B5" s="29"/>
      <c r="C5" s="29"/>
      <c r="D5" s="29"/>
      <c r="E5" s="30"/>
    </row>
    <row r="6" spans="1:5" x14ac:dyDescent="0.25">
      <c r="A6" s="28"/>
      <c r="B6" s="29"/>
      <c r="C6" s="29"/>
      <c r="D6" s="29"/>
      <c r="E6" s="30"/>
    </row>
    <row r="7" spans="1:5" x14ac:dyDescent="0.25">
      <c r="A7" t="s">
        <v>175</v>
      </c>
    </row>
    <row r="10" spans="1:5" x14ac:dyDescent="0.25">
      <c r="A10" t="s">
        <v>170</v>
      </c>
      <c r="B10" t="s">
        <v>191</v>
      </c>
    </row>
    <row r="11" spans="1:5" x14ac:dyDescent="0.25">
      <c r="A11" t="s">
        <v>171</v>
      </c>
      <c r="B11" t="s">
        <v>172</v>
      </c>
    </row>
    <row r="12" spans="1:5" x14ac:dyDescent="0.25">
      <c r="A12" t="s">
        <v>173</v>
      </c>
      <c r="B12" t="s">
        <v>174</v>
      </c>
    </row>
    <row r="15" spans="1:5" x14ac:dyDescent="0.25">
      <c r="A15" s="12" t="s">
        <v>176</v>
      </c>
      <c r="B15" s="12" t="s">
        <v>178</v>
      </c>
      <c r="C15" t="s">
        <v>179</v>
      </c>
    </row>
    <row r="16" spans="1:5" x14ac:dyDescent="0.25">
      <c r="A16" t="s">
        <v>183</v>
      </c>
      <c r="B16" t="s">
        <v>180</v>
      </c>
    </row>
    <row r="17" spans="1:2" x14ac:dyDescent="0.25">
      <c r="A17" t="s">
        <v>182</v>
      </c>
      <c r="B17" t="s">
        <v>181</v>
      </c>
    </row>
    <row r="18" spans="1:2" x14ac:dyDescent="0.25">
      <c r="A18" t="s">
        <v>177</v>
      </c>
      <c r="B18" t="s">
        <v>177</v>
      </c>
    </row>
    <row r="20" spans="1:2" x14ac:dyDescent="0.25">
      <c r="A20" t="s">
        <v>184</v>
      </c>
    </row>
  </sheetData>
  <mergeCells count="5">
    <mergeCell ref="A1:E2"/>
    <mergeCell ref="A3:E3"/>
    <mergeCell ref="A4:E4"/>
    <mergeCell ref="A5:E5"/>
    <mergeCell ref="A6:E6"/>
  </mergeCells>
  <phoneticPr fontId="1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D29" sqref="D29"/>
    </sheetView>
  </sheetViews>
  <sheetFormatPr defaultRowHeight="15.75" x14ac:dyDescent="0.25"/>
  <cols>
    <col min="2" max="2" width="11.85546875" customWidth="1"/>
    <col min="3" max="3" width="27.7109375" customWidth="1"/>
    <col min="4" max="4" width="45.7109375" customWidth="1"/>
    <col min="5" max="5" width="27.5703125" customWidth="1"/>
    <col min="6" max="6" width="16.140625" customWidth="1"/>
    <col min="8" max="8" width="3.5703125" customWidth="1"/>
  </cols>
  <sheetData>
    <row r="1" spans="1:9" x14ac:dyDescent="0.25">
      <c r="A1" s="26" t="s">
        <v>4</v>
      </c>
      <c r="B1" s="26"/>
      <c r="C1" s="26"/>
      <c r="D1" s="26"/>
      <c r="E1" s="26"/>
      <c r="F1" s="26"/>
    </row>
    <row r="2" spans="1:9" x14ac:dyDescent="0.25">
      <c r="A2" s="26"/>
      <c r="B2" s="26"/>
      <c r="C2" s="26"/>
      <c r="D2" s="26"/>
      <c r="E2" s="26"/>
      <c r="F2" s="26"/>
    </row>
    <row r="3" spans="1:9" x14ac:dyDescent="0.25">
      <c r="A3" s="28" t="s">
        <v>124</v>
      </c>
      <c r="B3" s="29"/>
      <c r="C3" s="29"/>
      <c r="D3" s="29"/>
      <c r="E3" s="29"/>
      <c r="F3" s="30"/>
    </row>
    <row r="4" spans="1:9" x14ac:dyDescent="0.25">
      <c r="A4" s="22" t="s">
        <v>106</v>
      </c>
      <c r="B4" s="22" t="s">
        <v>146</v>
      </c>
      <c r="C4" s="22" t="s">
        <v>107</v>
      </c>
      <c r="D4" s="22" t="s">
        <v>108</v>
      </c>
      <c r="E4" s="22" t="s">
        <v>109</v>
      </c>
      <c r="F4" s="22" t="s">
        <v>110</v>
      </c>
    </row>
    <row r="5" spans="1:9" x14ac:dyDescent="0.25">
      <c r="A5" s="15">
        <v>1</v>
      </c>
      <c r="B5" s="15" t="s">
        <v>130</v>
      </c>
      <c r="C5" s="11" t="s">
        <v>118</v>
      </c>
      <c r="D5" s="1" t="s">
        <v>127</v>
      </c>
      <c r="E5" s="15" t="s">
        <v>126</v>
      </c>
      <c r="F5" s="1"/>
    </row>
    <row r="9" spans="1:9" x14ac:dyDescent="0.25">
      <c r="I9" s="3" t="s">
        <v>12</v>
      </c>
    </row>
  </sheetData>
  <mergeCells count="2">
    <mergeCell ref="A3:F3"/>
    <mergeCell ref="A1:F2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M32" sqref="M32"/>
    </sheetView>
  </sheetViews>
  <sheetFormatPr defaultRowHeight="15.75" x14ac:dyDescent="0.25"/>
  <cols>
    <col min="2" max="2" width="17.5703125" customWidth="1"/>
    <col min="3" max="3" width="31.85546875" customWidth="1"/>
    <col min="4" max="4" width="46.7109375" customWidth="1"/>
    <col min="5" max="5" width="18.28515625" customWidth="1"/>
  </cols>
  <sheetData>
    <row r="1" spans="1:6" x14ac:dyDescent="0.25">
      <c r="A1" s="26" t="s">
        <v>5</v>
      </c>
      <c r="B1" s="26"/>
      <c r="C1" s="26"/>
      <c r="D1" s="26"/>
      <c r="E1" s="26"/>
      <c r="F1" s="26"/>
    </row>
    <row r="2" spans="1:6" x14ac:dyDescent="0.25">
      <c r="A2" s="26"/>
      <c r="B2" s="26"/>
      <c r="C2" s="26"/>
      <c r="D2" s="26"/>
      <c r="E2" s="26"/>
      <c r="F2" s="26"/>
    </row>
    <row r="3" spans="1:6" x14ac:dyDescent="0.25">
      <c r="A3" s="17" t="s">
        <v>106</v>
      </c>
      <c r="B3" s="17" t="s">
        <v>145</v>
      </c>
      <c r="C3" s="17" t="s">
        <v>107</v>
      </c>
      <c r="D3" s="17" t="s">
        <v>108</v>
      </c>
      <c r="E3" s="17" t="s">
        <v>109</v>
      </c>
      <c r="F3" s="17" t="s">
        <v>110</v>
      </c>
    </row>
    <row r="4" spans="1:6" x14ac:dyDescent="0.25">
      <c r="A4" s="15">
        <v>1</v>
      </c>
      <c r="B4" s="16" t="s">
        <v>131</v>
      </c>
      <c r="C4" s="20" t="s">
        <v>133</v>
      </c>
      <c r="D4" s="14" t="s">
        <v>158</v>
      </c>
      <c r="E4" s="31" t="s">
        <v>125</v>
      </c>
      <c r="F4" s="2"/>
    </row>
    <row r="5" spans="1:6" x14ac:dyDescent="0.25">
      <c r="A5" s="15">
        <v>2</v>
      </c>
      <c r="B5" s="16" t="s">
        <v>130</v>
      </c>
      <c r="C5" s="11" t="s">
        <v>118</v>
      </c>
      <c r="D5" s="2" t="s">
        <v>127</v>
      </c>
      <c r="E5" s="32"/>
      <c r="F5" s="2"/>
    </row>
    <row r="6" spans="1:6" x14ac:dyDescent="0.25">
      <c r="A6" s="15">
        <v>3</v>
      </c>
      <c r="B6" s="16" t="s">
        <v>132</v>
      </c>
      <c r="C6" s="2" t="s">
        <v>115</v>
      </c>
      <c r="D6" s="2" t="s">
        <v>119</v>
      </c>
      <c r="E6" s="32"/>
      <c r="F6" s="2"/>
    </row>
    <row r="7" spans="1:6" x14ac:dyDescent="0.25">
      <c r="A7" s="15">
        <v>4</v>
      </c>
      <c r="B7" s="15" t="s">
        <v>129</v>
      </c>
      <c r="C7" s="2" t="s">
        <v>116</v>
      </c>
      <c r="D7" s="2" t="s">
        <v>121</v>
      </c>
      <c r="E7" s="33"/>
      <c r="F7" s="2"/>
    </row>
    <row r="17" spans="8:8" x14ac:dyDescent="0.25">
      <c r="H17" s="3" t="s">
        <v>13</v>
      </c>
    </row>
  </sheetData>
  <mergeCells count="2">
    <mergeCell ref="E4:E7"/>
    <mergeCell ref="A1:F2"/>
  </mergeCells>
  <phoneticPr fontId="1" type="noConversion"/>
  <pageMargins left="0.7" right="0.7" top="0.75" bottom="0.75" header="0.3" footer="0.3"/>
  <pageSetup paperSize="0" orientation="portrait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A3" sqref="A3:F3"/>
    </sheetView>
  </sheetViews>
  <sheetFormatPr defaultRowHeight="15.75" x14ac:dyDescent="0.25"/>
  <cols>
    <col min="3" max="3" width="23.5703125" customWidth="1"/>
    <col min="4" max="4" width="31.85546875" customWidth="1"/>
    <col min="5" max="5" width="27.5703125" customWidth="1"/>
  </cols>
  <sheetData>
    <row r="1" spans="1:8" x14ac:dyDescent="0.25">
      <c r="A1" s="26" t="s">
        <v>6</v>
      </c>
      <c r="B1" s="26"/>
      <c r="C1" s="26"/>
      <c r="D1" s="26"/>
      <c r="E1" s="26"/>
      <c r="F1" s="26"/>
    </row>
    <row r="2" spans="1:8" x14ac:dyDescent="0.25">
      <c r="A2" s="26"/>
      <c r="B2" s="26"/>
      <c r="C2" s="26"/>
      <c r="D2" s="26"/>
      <c r="E2" s="26"/>
      <c r="F2" s="26"/>
    </row>
    <row r="3" spans="1:8" x14ac:dyDescent="0.25">
      <c r="A3" s="28" t="s">
        <v>192</v>
      </c>
      <c r="B3" s="29"/>
      <c r="C3" s="29"/>
      <c r="D3" s="29"/>
      <c r="E3" s="29"/>
      <c r="F3" s="30"/>
    </row>
    <row r="4" spans="1:8" x14ac:dyDescent="0.25">
      <c r="A4" s="22" t="s">
        <v>106</v>
      </c>
      <c r="B4" s="22" t="s">
        <v>145</v>
      </c>
      <c r="C4" s="22" t="s">
        <v>107</v>
      </c>
      <c r="D4" s="22" t="s">
        <v>108</v>
      </c>
      <c r="E4" s="22" t="s">
        <v>109</v>
      </c>
      <c r="F4" s="22" t="s">
        <v>110</v>
      </c>
    </row>
    <row r="5" spans="1:8" ht="63" x14ac:dyDescent="0.25">
      <c r="A5" s="15">
        <v>1</v>
      </c>
      <c r="B5" s="15" t="s">
        <v>134</v>
      </c>
      <c r="C5" s="21" t="s">
        <v>140</v>
      </c>
      <c r="D5" s="23" t="s">
        <v>135</v>
      </c>
      <c r="E5" s="15" t="s">
        <v>125</v>
      </c>
      <c r="F5" s="2"/>
    </row>
    <row r="9" spans="1:8" x14ac:dyDescent="0.25">
      <c r="H9" s="3" t="s">
        <v>14</v>
      </c>
    </row>
  </sheetData>
  <mergeCells count="2">
    <mergeCell ref="A3:F3"/>
    <mergeCell ref="A1:F2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"/>
  <sheetViews>
    <sheetView workbookViewId="0">
      <selection activeCell="E27" sqref="E27"/>
    </sheetView>
  </sheetViews>
  <sheetFormatPr defaultRowHeight="15.75" x14ac:dyDescent="0.25"/>
  <cols>
    <col min="2" max="2" width="19.5703125" customWidth="1"/>
    <col min="3" max="3" width="22.28515625" customWidth="1"/>
    <col min="4" max="4" width="45.140625" customWidth="1"/>
    <col min="5" max="5" width="17.28515625" customWidth="1"/>
    <col min="6" max="6" width="25.42578125" customWidth="1"/>
  </cols>
  <sheetData>
    <row r="1" spans="1:20" x14ac:dyDescent="0.25">
      <c r="A1" s="26" t="s">
        <v>136</v>
      </c>
      <c r="B1" s="26"/>
      <c r="C1" s="26"/>
      <c r="D1" s="26"/>
      <c r="E1" s="26"/>
      <c r="F1" s="26"/>
    </row>
    <row r="2" spans="1:20" x14ac:dyDescent="0.25">
      <c r="A2" s="26"/>
      <c r="B2" s="26"/>
      <c r="C2" s="26"/>
      <c r="D2" s="26"/>
      <c r="E2" s="26"/>
      <c r="F2" s="26"/>
    </row>
    <row r="3" spans="1:20" x14ac:dyDescent="0.25">
      <c r="A3" s="35" t="s">
        <v>169</v>
      </c>
      <c r="B3" s="29"/>
      <c r="C3" s="29"/>
      <c r="D3" s="29"/>
      <c r="E3" s="29"/>
      <c r="F3" s="30"/>
    </row>
    <row r="4" spans="1:20" x14ac:dyDescent="0.25">
      <c r="A4" s="22" t="s">
        <v>106</v>
      </c>
      <c r="B4" s="22" t="s">
        <v>145</v>
      </c>
      <c r="C4" s="22" t="s">
        <v>107</v>
      </c>
      <c r="D4" s="22" t="s">
        <v>108</v>
      </c>
      <c r="E4" s="22" t="s">
        <v>109</v>
      </c>
      <c r="F4" s="22" t="s">
        <v>110</v>
      </c>
    </row>
    <row r="5" spans="1:20" ht="110.25" x14ac:dyDescent="0.25">
      <c r="A5" s="15">
        <v>1</v>
      </c>
      <c r="B5" s="15" t="s">
        <v>137</v>
      </c>
      <c r="C5" s="21" t="s">
        <v>141</v>
      </c>
      <c r="D5" s="24" t="s">
        <v>155</v>
      </c>
      <c r="E5" s="15" t="s">
        <v>125</v>
      </c>
      <c r="F5" s="2"/>
    </row>
    <row r="8" spans="1:20" x14ac:dyDescent="0.25">
      <c r="L8" s="3" t="s">
        <v>15</v>
      </c>
      <c r="M8" s="3"/>
      <c r="N8" s="3"/>
      <c r="O8" s="3"/>
      <c r="P8" s="3"/>
      <c r="Q8" s="3"/>
      <c r="R8" s="3"/>
      <c r="S8" s="3"/>
      <c r="T8" s="3"/>
    </row>
    <row r="9" spans="1:20" x14ac:dyDescent="0.25">
      <c r="L9" s="3" t="s">
        <v>139</v>
      </c>
      <c r="M9" s="3"/>
      <c r="N9" s="3"/>
      <c r="O9" s="3"/>
      <c r="P9" s="3"/>
      <c r="Q9" s="3"/>
      <c r="R9" s="3"/>
      <c r="S9" s="3"/>
      <c r="T9" s="3"/>
    </row>
    <row r="13" spans="1:20" x14ac:dyDescent="0.25">
      <c r="L13" s="3" t="s">
        <v>16</v>
      </c>
    </row>
    <row r="14" spans="1:20" x14ac:dyDescent="0.25">
      <c r="L14" s="3" t="s">
        <v>138</v>
      </c>
    </row>
    <row r="20" spans="12:23" ht="15.75" customHeight="1" x14ac:dyDescent="0.25"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</row>
    <row r="21" spans="12:23" x14ac:dyDescent="0.25"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</row>
    <row r="22" spans="12:23" x14ac:dyDescent="0.25"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</row>
    <row r="23" spans="12:23" x14ac:dyDescent="0.25"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</row>
    <row r="24" spans="12:23" x14ac:dyDescent="0.25"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</row>
    <row r="25" spans="12:23" x14ac:dyDescent="0.25"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</row>
    <row r="26" spans="12:23" x14ac:dyDescent="0.25"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</row>
    <row r="27" spans="12:23" x14ac:dyDescent="0.25"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</row>
    <row r="28" spans="12:23" x14ac:dyDescent="0.25"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</row>
  </sheetData>
  <mergeCells count="3">
    <mergeCell ref="L20:W28"/>
    <mergeCell ref="A3:F3"/>
    <mergeCell ref="A1:F2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H32" sqref="H32"/>
    </sheetView>
  </sheetViews>
  <sheetFormatPr defaultRowHeight="15.75" x14ac:dyDescent="0.25"/>
  <cols>
    <col min="2" max="2" width="14.28515625" customWidth="1"/>
    <col min="3" max="3" width="35.140625" customWidth="1"/>
    <col min="4" max="4" width="34.7109375" customWidth="1"/>
    <col min="5" max="5" width="21.28515625" customWidth="1"/>
    <col min="12" max="12" width="33" customWidth="1"/>
    <col min="13" max="13" width="45" customWidth="1"/>
  </cols>
  <sheetData>
    <row r="1" spans="1:9" x14ac:dyDescent="0.25">
      <c r="A1" s="26" t="s">
        <v>9</v>
      </c>
      <c r="B1" s="26"/>
      <c r="C1" s="26"/>
      <c r="D1" s="26"/>
      <c r="E1" s="26"/>
      <c r="F1" s="26"/>
    </row>
    <row r="2" spans="1:9" x14ac:dyDescent="0.25">
      <c r="A2" s="26"/>
      <c r="B2" s="26"/>
      <c r="C2" s="26"/>
      <c r="D2" s="26"/>
      <c r="E2" s="26"/>
      <c r="F2" s="26"/>
    </row>
    <row r="3" spans="1:9" x14ac:dyDescent="0.25">
      <c r="A3" s="27" t="s">
        <v>188</v>
      </c>
      <c r="B3" s="27"/>
      <c r="C3" s="27"/>
      <c r="D3" s="27"/>
      <c r="E3" s="27"/>
      <c r="F3" s="27"/>
    </row>
    <row r="4" spans="1:9" x14ac:dyDescent="0.25">
      <c r="A4" s="22" t="s">
        <v>106</v>
      </c>
      <c r="B4" s="22" t="s">
        <v>145</v>
      </c>
      <c r="C4" s="22" t="s">
        <v>107</v>
      </c>
      <c r="D4" s="22" t="s">
        <v>108</v>
      </c>
      <c r="E4" s="22" t="s">
        <v>109</v>
      </c>
      <c r="F4" s="22" t="s">
        <v>110</v>
      </c>
    </row>
    <row r="5" spans="1:9" ht="47.25" x14ac:dyDescent="0.25">
      <c r="A5" s="19">
        <v>1</v>
      </c>
      <c r="B5" s="19" t="s">
        <v>142</v>
      </c>
      <c r="C5" s="21" t="s">
        <v>143</v>
      </c>
      <c r="D5" s="23" t="s">
        <v>135</v>
      </c>
      <c r="E5" s="19" t="s">
        <v>125</v>
      </c>
      <c r="F5" s="18"/>
    </row>
    <row r="9" spans="1:9" x14ac:dyDescent="0.25">
      <c r="I9" s="3" t="s">
        <v>17</v>
      </c>
    </row>
  </sheetData>
  <mergeCells count="2">
    <mergeCell ref="A1:F2"/>
    <mergeCell ref="A3:F3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F25" sqref="F25"/>
    </sheetView>
  </sheetViews>
  <sheetFormatPr defaultRowHeight="15.75" x14ac:dyDescent="0.25"/>
  <cols>
    <col min="2" max="2" width="13.28515625" customWidth="1"/>
    <col min="3" max="3" width="30" customWidth="1"/>
    <col min="4" max="4" width="37.140625" customWidth="1"/>
    <col min="5" max="5" width="25.85546875" customWidth="1"/>
    <col min="6" max="6" width="6.85546875" customWidth="1"/>
    <col min="14" max="14" width="57.140625" customWidth="1"/>
  </cols>
  <sheetData>
    <row r="1" spans="1:10" x14ac:dyDescent="0.25">
      <c r="A1" s="26" t="s">
        <v>7</v>
      </c>
      <c r="B1" s="26"/>
      <c r="C1" s="26"/>
      <c r="D1" s="26"/>
      <c r="E1" s="26"/>
      <c r="F1" s="26"/>
    </row>
    <row r="2" spans="1:10" x14ac:dyDescent="0.25">
      <c r="A2" s="26"/>
      <c r="B2" s="26"/>
      <c r="C2" s="26"/>
      <c r="D2" s="26"/>
      <c r="E2" s="26"/>
      <c r="F2" s="26"/>
    </row>
    <row r="3" spans="1:10" x14ac:dyDescent="0.25">
      <c r="A3" s="27" t="s">
        <v>10</v>
      </c>
      <c r="B3" s="27"/>
      <c r="C3" s="27"/>
      <c r="D3" s="27"/>
      <c r="E3" s="27"/>
      <c r="F3" s="27"/>
    </row>
    <row r="4" spans="1:10" x14ac:dyDescent="0.25">
      <c r="A4" s="22" t="s">
        <v>106</v>
      </c>
      <c r="B4" s="22" t="s">
        <v>145</v>
      </c>
      <c r="C4" s="22" t="s">
        <v>107</v>
      </c>
      <c r="D4" s="22" t="s">
        <v>108</v>
      </c>
      <c r="E4" s="22" t="s">
        <v>109</v>
      </c>
      <c r="F4" s="22" t="s">
        <v>110</v>
      </c>
    </row>
    <row r="5" spans="1:10" ht="105.75" customHeight="1" x14ac:dyDescent="0.25">
      <c r="A5" s="19">
        <v>1</v>
      </c>
      <c r="B5" s="19" t="s">
        <v>144</v>
      </c>
      <c r="C5" s="21" t="s">
        <v>147</v>
      </c>
      <c r="D5" s="24" t="s">
        <v>148</v>
      </c>
      <c r="E5" s="19" t="s">
        <v>125</v>
      </c>
      <c r="F5" s="18"/>
    </row>
    <row r="10" spans="1:10" x14ac:dyDescent="0.25">
      <c r="J10" s="3" t="s">
        <v>18</v>
      </c>
    </row>
  </sheetData>
  <mergeCells count="2">
    <mergeCell ref="A1:F2"/>
    <mergeCell ref="A3:F3"/>
  </mergeCells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L29" sqref="L29"/>
    </sheetView>
  </sheetViews>
  <sheetFormatPr defaultRowHeight="15.75" x14ac:dyDescent="0.25"/>
  <cols>
    <col min="1" max="1" width="7.85546875" customWidth="1"/>
    <col min="3" max="3" width="24.28515625" customWidth="1"/>
    <col min="4" max="4" width="31.28515625" customWidth="1"/>
    <col min="5" max="5" width="23.5703125" customWidth="1"/>
  </cols>
  <sheetData>
    <row r="1" spans="1:8" x14ac:dyDescent="0.25">
      <c r="A1" s="26" t="s">
        <v>150</v>
      </c>
      <c r="B1" s="26"/>
      <c r="C1" s="26"/>
      <c r="D1" s="26"/>
      <c r="E1" s="26"/>
      <c r="F1" s="26"/>
    </row>
    <row r="2" spans="1:8" x14ac:dyDescent="0.25">
      <c r="A2" s="26"/>
      <c r="B2" s="26"/>
      <c r="C2" s="26"/>
      <c r="D2" s="26"/>
      <c r="E2" s="26"/>
      <c r="F2" s="26"/>
    </row>
    <row r="3" spans="1:8" x14ac:dyDescent="0.25">
      <c r="A3" s="27" t="s">
        <v>151</v>
      </c>
      <c r="B3" s="27"/>
      <c r="C3" s="27"/>
      <c r="D3" s="27"/>
      <c r="E3" s="27"/>
      <c r="F3" s="27"/>
    </row>
    <row r="4" spans="1:8" x14ac:dyDescent="0.25">
      <c r="A4" s="22" t="s">
        <v>106</v>
      </c>
      <c r="B4" s="22" t="s">
        <v>145</v>
      </c>
      <c r="C4" s="22" t="s">
        <v>107</v>
      </c>
      <c r="D4" s="22" t="s">
        <v>108</v>
      </c>
      <c r="E4" s="22" t="s">
        <v>109</v>
      </c>
      <c r="F4" s="22" t="s">
        <v>110</v>
      </c>
    </row>
    <row r="5" spans="1:8" ht="47.25" x14ac:dyDescent="0.25">
      <c r="A5" s="19">
        <v>1</v>
      </c>
      <c r="B5" s="19" t="s">
        <v>6</v>
      </c>
      <c r="C5" s="21" t="s">
        <v>149</v>
      </c>
      <c r="D5" s="23" t="s">
        <v>135</v>
      </c>
      <c r="E5" s="19" t="s">
        <v>125</v>
      </c>
      <c r="F5" s="18"/>
    </row>
    <row r="9" spans="1:8" x14ac:dyDescent="0.25">
      <c r="H9" s="3" t="s">
        <v>19</v>
      </c>
    </row>
  </sheetData>
  <mergeCells count="2">
    <mergeCell ref="A1:F2"/>
    <mergeCell ref="A3:F3"/>
  </mergeCells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L21" sqref="L21"/>
    </sheetView>
  </sheetViews>
  <sheetFormatPr defaultRowHeight="15.75" x14ac:dyDescent="0.25"/>
  <cols>
    <col min="3" max="3" width="40.28515625" customWidth="1"/>
    <col min="4" max="4" width="32.28515625" customWidth="1"/>
    <col min="5" max="5" width="23.140625" customWidth="1"/>
  </cols>
  <sheetData>
    <row r="1" spans="1:8" x14ac:dyDescent="0.25">
      <c r="A1" s="26" t="s">
        <v>8</v>
      </c>
      <c r="B1" s="26"/>
      <c r="C1" s="26"/>
      <c r="D1" s="26"/>
      <c r="E1" s="26"/>
      <c r="F1" s="26"/>
    </row>
    <row r="2" spans="1:8" x14ac:dyDescent="0.25">
      <c r="A2" s="26"/>
      <c r="B2" s="26"/>
      <c r="C2" s="26"/>
      <c r="D2" s="26"/>
      <c r="E2" s="26"/>
      <c r="F2" s="26"/>
    </row>
    <row r="3" spans="1:8" x14ac:dyDescent="0.25">
      <c r="A3" s="27" t="s">
        <v>112</v>
      </c>
      <c r="B3" s="27"/>
      <c r="C3" s="27"/>
      <c r="D3" s="27"/>
      <c r="E3" s="27"/>
      <c r="F3" s="27"/>
    </row>
    <row r="4" spans="1:8" x14ac:dyDescent="0.25">
      <c r="A4" s="22" t="s">
        <v>106</v>
      </c>
      <c r="B4" s="22" t="s">
        <v>145</v>
      </c>
      <c r="C4" s="22" t="s">
        <v>107</v>
      </c>
      <c r="D4" s="22" t="s">
        <v>108</v>
      </c>
      <c r="E4" s="22" t="s">
        <v>109</v>
      </c>
      <c r="F4" s="22" t="s">
        <v>110</v>
      </c>
    </row>
    <row r="5" spans="1:8" ht="31.5" x14ac:dyDescent="0.25">
      <c r="A5" s="19">
        <v>1</v>
      </c>
      <c r="B5" s="19" t="s">
        <v>8</v>
      </c>
      <c r="C5" s="21" t="s">
        <v>152</v>
      </c>
      <c r="D5" s="23" t="s">
        <v>135</v>
      </c>
      <c r="E5" s="19" t="s">
        <v>125</v>
      </c>
      <c r="F5" s="18"/>
    </row>
    <row r="8" spans="1:8" x14ac:dyDescent="0.25">
      <c r="H8" s="3" t="s">
        <v>20</v>
      </c>
    </row>
  </sheetData>
  <mergeCells count="2">
    <mergeCell ref="A1:F2"/>
    <mergeCell ref="A3:F3"/>
  </mergeCells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H24" sqref="H24"/>
    </sheetView>
  </sheetViews>
  <sheetFormatPr defaultRowHeight="15.75" x14ac:dyDescent="0.25"/>
  <cols>
    <col min="2" max="2" width="31.5703125" customWidth="1"/>
    <col min="3" max="3" width="57.28515625" customWidth="1"/>
    <col min="4" max="4" width="30" customWidth="1"/>
    <col min="5" max="5" width="10.5703125" customWidth="1"/>
  </cols>
  <sheetData>
    <row r="1" spans="1:5" x14ac:dyDescent="0.25">
      <c r="A1" s="26" t="s">
        <v>185</v>
      </c>
      <c r="B1" s="26"/>
      <c r="C1" s="26"/>
      <c r="D1" s="26"/>
      <c r="E1" s="26"/>
    </row>
    <row r="2" spans="1:5" x14ac:dyDescent="0.25">
      <c r="A2" s="26"/>
      <c r="B2" s="26"/>
      <c r="C2" s="26"/>
      <c r="D2" s="26"/>
      <c r="E2" s="26"/>
    </row>
    <row r="3" spans="1:5" x14ac:dyDescent="0.25">
      <c r="A3" s="27" t="s">
        <v>112</v>
      </c>
      <c r="B3" s="27"/>
      <c r="C3" s="27"/>
      <c r="D3" s="27"/>
      <c r="E3" s="27"/>
    </row>
    <row r="4" spans="1:5" x14ac:dyDescent="0.25">
      <c r="A4" s="22" t="s">
        <v>106</v>
      </c>
      <c r="B4" s="22" t="s">
        <v>107</v>
      </c>
      <c r="C4" s="22" t="s">
        <v>108</v>
      </c>
      <c r="D4" s="22" t="s">
        <v>109</v>
      </c>
      <c r="E4" s="22" t="s">
        <v>110</v>
      </c>
    </row>
    <row r="5" spans="1:5" ht="31.5" x14ac:dyDescent="0.25">
      <c r="A5" s="19">
        <v>1</v>
      </c>
      <c r="B5" s="21" t="s">
        <v>187</v>
      </c>
      <c r="C5" s="24" t="s">
        <v>186</v>
      </c>
      <c r="D5" s="19" t="s">
        <v>125</v>
      </c>
      <c r="E5" s="18"/>
    </row>
  </sheetData>
  <mergeCells count="2">
    <mergeCell ref="A1:E2"/>
    <mergeCell ref="A3:E3"/>
  </mergeCells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E20" sqref="E20"/>
    </sheetView>
  </sheetViews>
  <sheetFormatPr defaultRowHeight="15.75" x14ac:dyDescent="0.25"/>
  <cols>
    <col min="2" max="2" width="15.140625" customWidth="1"/>
    <col min="3" max="3" width="30.140625" customWidth="1"/>
    <col min="4" max="4" width="50.28515625" customWidth="1"/>
    <col min="5" max="5" width="18.7109375" customWidth="1"/>
    <col min="6" max="6" width="43.28515625" customWidth="1"/>
  </cols>
  <sheetData>
    <row r="1" spans="1:8" x14ac:dyDescent="0.25">
      <c r="A1" s="26" t="s">
        <v>3</v>
      </c>
      <c r="B1" s="26"/>
      <c r="C1" s="26"/>
      <c r="D1" s="26"/>
      <c r="E1" s="26"/>
      <c r="F1" s="26"/>
    </row>
    <row r="2" spans="1:8" x14ac:dyDescent="0.25">
      <c r="A2" s="26"/>
      <c r="B2" s="26"/>
      <c r="C2" s="26"/>
      <c r="D2" s="26"/>
      <c r="E2" s="26"/>
      <c r="F2" s="26"/>
    </row>
    <row r="3" spans="1:8" x14ac:dyDescent="0.25">
      <c r="A3" s="27" t="s">
        <v>105</v>
      </c>
      <c r="B3" s="27"/>
      <c r="C3" s="27"/>
      <c r="D3" s="27"/>
      <c r="E3" s="27"/>
      <c r="F3" s="27"/>
    </row>
    <row r="4" spans="1:8" x14ac:dyDescent="0.25">
      <c r="A4" s="17" t="s">
        <v>106</v>
      </c>
      <c r="B4" s="17" t="s">
        <v>145</v>
      </c>
      <c r="C4" s="17" t="s">
        <v>107</v>
      </c>
      <c r="D4" s="17" t="s">
        <v>108</v>
      </c>
      <c r="E4" s="17" t="s">
        <v>109</v>
      </c>
      <c r="F4" s="17" t="s">
        <v>110</v>
      </c>
    </row>
    <row r="5" spans="1:8" x14ac:dyDescent="0.25">
      <c r="A5" s="15">
        <v>1</v>
      </c>
      <c r="B5" s="16" t="s">
        <v>128</v>
      </c>
      <c r="C5" s="2" t="s">
        <v>115</v>
      </c>
      <c r="D5" s="2" t="s">
        <v>157</v>
      </c>
      <c r="E5" s="15" t="s">
        <v>125</v>
      </c>
      <c r="F5" s="2"/>
    </row>
    <row r="6" spans="1:8" x14ac:dyDescent="0.25">
      <c r="A6" s="36">
        <v>2</v>
      </c>
      <c r="B6" s="31" t="s">
        <v>129</v>
      </c>
      <c r="C6" s="2" t="s">
        <v>116</v>
      </c>
      <c r="D6" s="2" t="s">
        <v>121</v>
      </c>
      <c r="E6" s="36" t="s">
        <v>125</v>
      </c>
      <c r="F6" s="2"/>
    </row>
    <row r="7" spans="1:8" x14ac:dyDescent="0.25">
      <c r="A7" s="36"/>
      <c r="B7" s="32"/>
      <c r="C7" s="2" t="s">
        <v>117</v>
      </c>
      <c r="D7" s="14" t="s">
        <v>159</v>
      </c>
      <c r="E7" s="36"/>
      <c r="F7" s="2"/>
    </row>
    <row r="8" spans="1:8" x14ac:dyDescent="0.25">
      <c r="A8" s="36"/>
      <c r="B8" s="32"/>
      <c r="C8" s="11" t="s">
        <v>118</v>
      </c>
      <c r="D8" s="2" t="s">
        <v>123</v>
      </c>
      <c r="E8" s="36"/>
      <c r="F8" s="2"/>
    </row>
    <row r="9" spans="1:8" x14ac:dyDescent="0.25">
      <c r="A9" s="36"/>
      <c r="B9" s="33"/>
      <c r="C9" s="12" t="s">
        <v>120</v>
      </c>
      <c r="D9" s="13" t="s">
        <v>122</v>
      </c>
      <c r="E9" s="36"/>
      <c r="F9" s="2"/>
      <c r="H9" s="3" t="s">
        <v>11</v>
      </c>
    </row>
  </sheetData>
  <mergeCells count="5">
    <mergeCell ref="A6:A9"/>
    <mergeCell ref="B6:B9"/>
    <mergeCell ref="E6:E9"/>
    <mergeCell ref="A1:F2"/>
    <mergeCell ref="A3:F3"/>
  </mergeCells>
  <phoneticPr fontId="1" type="noConversion"/>
  <pageMargins left="0.7" right="0.7" top="0.75" bottom="0.75" header="0.3" footer="0.3"/>
  <pageSetup paperSize="0" orientation="portrait" horizontalDpi="0" verticalDpi="0" copie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8"/>
  <sheetViews>
    <sheetView topLeftCell="A7" workbookViewId="0">
      <selection activeCell="Q26" sqref="Q26"/>
    </sheetView>
  </sheetViews>
  <sheetFormatPr defaultRowHeight="15.75" x14ac:dyDescent="0.25"/>
  <cols>
    <col min="1" max="9" width="12.140625" customWidth="1"/>
    <col min="10" max="10" width="14.140625" customWidth="1"/>
    <col min="11" max="12" width="12.140625" customWidth="1"/>
  </cols>
  <sheetData>
    <row r="1" spans="1:24" x14ac:dyDescent="0.25">
      <c r="A1" s="37" t="s">
        <v>156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9"/>
    </row>
    <row r="2" spans="1:24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2"/>
    </row>
    <row r="3" spans="1:24" x14ac:dyDescent="0.25">
      <c r="A3" s="27" t="s">
        <v>168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</row>
    <row r="5" spans="1:24" x14ac:dyDescent="0.25">
      <c r="A5" t="s">
        <v>160</v>
      </c>
    </row>
    <row r="6" spans="1:24" x14ac:dyDescent="0.25">
      <c r="A6" t="s">
        <v>161</v>
      </c>
      <c r="B6" t="s">
        <v>162</v>
      </c>
      <c r="C6" t="s">
        <v>163</v>
      </c>
      <c r="D6" t="s">
        <v>164</v>
      </c>
      <c r="E6" t="s">
        <v>165</v>
      </c>
      <c r="H6" s="25"/>
      <c r="I6" s="25"/>
    </row>
    <row r="7" spans="1:24" x14ac:dyDescent="0.25">
      <c r="A7" t="s">
        <v>166</v>
      </c>
      <c r="J7" t="s">
        <v>167</v>
      </c>
    </row>
    <row r="48" spans="1:1" x14ac:dyDescent="0.25">
      <c r="A48">
        <f ca="1">A5:AB48</f>
        <v>0</v>
      </c>
    </row>
  </sheetData>
  <mergeCells count="2">
    <mergeCell ref="A1:X2"/>
    <mergeCell ref="A3:X3"/>
  </mergeCells>
  <phoneticPr fontId="1" type="noConversion"/>
  <pageMargins left="0.7" right="0.7" top="0.75" bottom="0.75" header="0.3" footer="0.3"/>
  <pageSetup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O33" sqref="O33"/>
    </sheetView>
  </sheetViews>
  <sheetFormatPr defaultRowHeight="15.75" x14ac:dyDescent="0.25"/>
  <cols>
    <col min="5" max="5" width="51.85546875" customWidth="1"/>
  </cols>
  <sheetData>
    <row r="1" spans="1:5" x14ac:dyDescent="0.25">
      <c r="A1" s="26" t="s">
        <v>153</v>
      </c>
      <c r="B1" s="26"/>
      <c r="C1" s="26"/>
      <c r="D1" s="26"/>
      <c r="E1" s="26"/>
    </row>
    <row r="2" spans="1:5" x14ac:dyDescent="0.25">
      <c r="A2" s="26"/>
      <c r="B2" s="26"/>
      <c r="C2" s="26"/>
      <c r="D2" s="26"/>
      <c r="E2" s="26"/>
    </row>
    <row r="3" spans="1:5" x14ac:dyDescent="0.25">
      <c r="A3" s="27" t="s">
        <v>113</v>
      </c>
      <c r="B3" s="27"/>
      <c r="C3" s="27"/>
      <c r="D3" s="27"/>
      <c r="E3" s="27"/>
    </row>
    <row r="4" spans="1:5" x14ac:dyDescent="0.25">
      <c r="A4" s="27" t="s">
        <v>114</v>
      </c>
      <c r="B4" s="27"/>
      <c r="C4" s="27"/>
      <c r="D4" s="27"/>
      <c r="E4" s="27"/>
    </row>
    <row r="5" spans="1:5" x14ac:dyDescent="0.25">
      <c r="A5" s="28" t="s">
        <v>154</v>
      </c>
      <c r="B5" s="29"/>
      <c r="C5" s="29"/>
      <c r="D5" s="29"/>
      <c r="E5" s="30"/>
    </row>
    <row r="6" spans="1:5" x14ac:dyDescent="0.25">
      <c r="A6" s="27" t="s">
        <v>190</v>
      </c>
      <c r="B6" s="27"/>
      <c r="C6" s="27"/>
      <c r="D6" s="27"/>
      <c r="E6" s="27"/>
    </row>
    <row r="7" spans="1:5" x14ac:dyDescent="0.25">
      <c r="A7" s="27" t="s">
        <v>189</v>
      </c>
      <c r="B7" s="27"/>
      <c r="C7" s="27"/>
      <c r="D7" s="27"/>
      <c r="E7" s="27"/>
    </row>
  </sheetData>
  <mergeCells count="6">
    <mergeCell ref="A7:E7"/>
    <mergeCell ref="A1:E2"/>
    <mergeCell ref="A3:E3"/>
    <mergeCell ref="A4:E4"/>
    <mergeCell ref="A5:E5"/>
    <mergeCell ref="A6:E6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G20" sqref="G20"/>
    </sheetView>
  </sheetViews>
  <sheetFormatPr defaultRowHeight="15.75" x14ac:dyDescent="0.25"/>
  <sheetData>
    <row r="1" spans="1:8" ht="25.5" x14ac:dyDescent="0.4">
      <c r="A1" s="43" t="s">
        <v>21</v>
      </c>
      <c r="B1" s="44"/>
      <c r="C1" s="44"/>
      <c r="D1" s="44"/>
      <c r="E1" s="44"/>
      <c r="F1" s="44"/>
      <c r="G1" s="44"/>
      <c r="H1" s="44"/>
    </row>
    <row r="2" spans="1:8" x14ac:dyDescent="0.25">
      <c r="A2" s="45" t="s">
        <v>22</v>
      </c>
      <c r="B2" s="47" t="s">
        <v>23</v>
      </c>
      <c r="C2" s="48" t="s">
        <v>24</v>
      </c>
      <c r="D2" s="49"/>
      <c r="E2" s="49"/>
      <c r="F2" s="49"/>
      <c r="G2" s="49"/>
      <c r="H2" s="50"/>
    </row>
    <row r="3" spans="1:8" ht="78.75" x14ac:dyDescent="0.25">
      <c r="A3" s="46"/>
      <c r="B3" s="46"/>
      <c r="C3" s="4" t="s">
        <v>25</v>
      </c>
      <c r="D3" s="5" t="s">
        <v>8</v>
      </c>
      <c r="E3" s="6" t="s">
        <v>26</v>
      </c>
      <c r="F3" s="6" t="s">
        <v>27</v>
      </c>
      <c r="G3" s="6" t="s">
        <v>28</v>
      </c>
      <c r="H3" s="7" t="s">
        <v>29</v>
      </c>
    </row>
    <row r="4" spans="1:8" x14ac:dyDescent="0.25">
      <c r="A4" s="8" t="s">
        <v>30</v>
      </c>
      <c r="B4" s="9" t="s">
        <v>31</v>
      </c>
      <c r="C4" s="10" t="s">
        <v>32</v>
      </c>
      <c r="D4" s="10" t="s">
        <v>33</v>
      </c>
      <c r="E4" s="10" t="s">
        <v>34</v>
      </c>
      <c r="F4" s="10" t="s">
        <v>35</v>
      </c>
      <c r="G4" s="8" t="s">
        <v>36</v>
      </c>
      <c r="H4" s="8" t="s">
        <v>37</v>
      </c>
    </row>
    <row r="5" spans="1:8" x14ac:dyDescent="0.25">
      <c r="A5" s="8" t="s">
        <v>30</v>
      </c>
      <c r="B5" s="9" t="s">
        <v>31</v>
      </c>
      <c r="C5" s="10" t="s">
        <v>38</v>
      </c>
      <c r="D5" s="10" t="s">
        <v>39</v>
      </c>
      <c r="E5" s="10" t="s">
        <v>40</v>
      </c>
      <c r="F5" s="10" t="s">
        <v>41</v>
      </c>
      <c r="G5" s="8" t="s">
        <v>42</v>
      </c>
      <c r="H5" s="8" t="s">
        <v>43</v>
      </c>
    </row>
    <row r="6" spans="1:8" x14ac:dyDescent="0.25">
      <c r="A6" s="8" t="s">
        <v>30</v>
      </c>
      <c r="B6" s="9" t="s">
        <v>31</v>
      </c>
      <c r="C6" s="10" t="s">
        <v>44</v>
      </c>
      <c r="D6" s="10" t="s">
        <v>45</v>
      </c>
      <c r="E6" s="10" t="s">
        <v>46</v>
      </c>
      <c r="F6" s="10" t="s">
        <v>47</v>
      </c>
      <c r="G6" s="8" t="s">
        <v>48</v>
      </c>
      <c r="H6" s="8" t="s">
        <v>49</v>
      </c>
    </row>
    <row r="7" spans="1:8" x14ac:dyDescent="0.25">
      <c r="A7" s="8" t="s">
        <v>30</v>
      </c>
      <c r="B7" s="9" t="s">
        <v>31</v>
      </c>
      <c r="C7" s="10" t="s">
        <v>50</v>
      </c>
      <c r="D7" s="10"/>
      <c r="E7" s="10" t="s">
        <v>51</v>
      </c>
      <c r="F7" s="10" t="s">
        <v>52</v>
      </c>
      <c r="G7" s="8" t="s">
        <v>53</v>
      </c>
      <c r="H7" s="8" t="s">
        <v>54</v>
      </c>
    </row>
    <row r="8" spans="1:8" x14ac:dyDescent="0.25">
      <c r="A8" s="8" t="s">
        <v>30</v>
      </c>
      <c r="B8" s="9" t="s">
        <v>31</v>
      </c>
      <c r="C8" s="10" t="s">
        <v>55</v>
      </c>
      <c r="D8" s="10"/>
      <c r="E8" s="10" t="s">
        <v>56</v>
      </c>
      <c r="F8" s="10" t="s">
        <v>57</v>
      </c>
      <c r="G8" s="8" t="s">
        <v>58</v>
      </c>
      <c r="H8" s="8" t="s">
        <v>59</v>
      </c>
    </row>
    <row r="9" spans="1:8" x14ac:dyDescent="0.25">
      <c r="A9" s="8" t="s">
        <v>30</v>
      </c>
      <c r="B9" s="9" t="s">
        <v>31</v>
      </c>
      <c r="C9" s="10" t="s">
        <v>60</v>
      </c>
      <c r="D9" s="10"/>
      <c r="E9" s="10" t="s">
        <v>61</v>
      </c>
      <c r="F9" s="10" t="s">
        <v>62</v>
      </c>
      <c r="G9" s="8" t="s">
        <v>63</v>
      </c>
      <c r="H9" s="8" t="s">
        <v>64</v>
      </c>
    </row>
    <row r="10" spans="1:8" x14ac:dyDescent="0.25">
      <c r="A10" s="8" t="s">
        <v>30</v>
      </c>
      <c r="B10" s="9" t="s">
        <v>31</v>
      </c>
      <c r="C10" s="10" t="s">
        <v>65</v>
      </c>
      <c r="D10" s="10"/>
      <c r="E10" s="10" t="s">
        <v>66</v>
      </c>
      <c r="F10" s="10" t="s">
        <v>67</v>
      </c>
      <c r="G10" s="8" t="s">
        <v>68</v>
      </c>
      <c r="H10" s="8" t="s">
        <v>69</v>
      </c>
    </row>
    <row r="11" spans="1:8" x14ac:dyDescent="0.25">
      <c r="A11" s="8" t="s">
        <v>30</v>
      </c>
      <c r="B11" s="9" t="s">
        <v>31</v>
      </c>
      <c r="C11" s="10" t="s">
        <v>70</v>
      </c>
      <c r="D11" s="10"/>
      <c r="E11" s="10" t="s">
        <v>71</v>
      </c>
      <c r="F11" s="10" t="s">
        <v>72</v>
      </c>
      <c r="G11" s="8" t="s">
        <v>73</v>
      </c>
      <c r="H11" s="8" t="s">
        <v>74</v>
      </c>
    </row>
    <row r="12" spans="1:8" x14ac:dyDescent="0.25">
      <c r="A12" s="8" t="s">
        <v>30</v>
      </c>
      <c r="B12" s="9" t="s">
        <v>31</v>
      </c>
      <c r="C12" s="10" t="s">
        <v>75</v>
      </c>
      <c r="D12" s="10"/>
      <c r="E12" s="10" t="s">
        <v>76</v>
      </c>
      <c r="F12" s="10" t="s">
        <v>77</v>
      </c>
      <c r="G12" s="8" t="s">
        <v>78</v>
      </c>
      <c r="H12" s="8" t="s">
        <v>79</v>
      </c>
    </row>
    <row r="13" spans="1:8" x14ac:dyDescent="0.25">
      <c r="A13" s="8" t="s">
        <v>30</v>
      </c>
      <c r="B13" s="9" t="s">
        <v>31</v>
      </c>
      <c r="C13" s="10" t="s">
        <v>80</v>
      </c>
      <c r="D13" s="10"/>
      <c r="E13" s="10" t="s">
        <v>81</v>
      </c>
      <c r="F13" s="10" t="s">
        <v>82</v>
      </c>
      <c r="G13" s="8" t="s">
        <v>83</v>
      </c>
      <c r="H13" s="8" t="s">
        <v>84</v>
      </c>
    </row>
    <row r="14" spans="1:8" x14ac:dyDescent="0.25">
      <c r="A14" s="8" t="s">
        <v>30</v>
      </c>
      <c r="B14" s="9" t="s">
        <v>31</v>
      </c>
      <c r="C14" s="10" t="s">
        <v>85</v>
      </c>
      <c r="D14" s="10"/>
      <c r="E14" s="10" t="s">
        <v>86</v>
      </c>
      <c r="F14" s="10" t="s">
        <v>87</v>
      </c>
      <c r="G14" s="8" t="s">
        <v>88</v>
      </c>
      <c r="H14" s="8" t="s">
        <v>89</v>
      </c>
    </row>
    <row r="15" spans="1:8" x14ac:dyDescent="0.25">
      <c r="A15" s="8" t="s">
        <v>30</v>
      </c>
      <c r="B15" s="9" t="s">
        <v>31</v>
      </c>
      <c r="C15" s="10"/>
      <c r="D15" s="10"/>
      <c r="E15" s="10" t="s">
        <v>90</v>
      </c>
      <c r="F15" s="10" t="s">
        <v>91</v>
      </c>
      <c r="G15" s="8" t="s">
        <v>92</v>
      </c>
      <c r="H15" s="8" t="s">
        <v>93</v>
      </c>
    </row>
    <row r="16" spans="1:8" x14ac:dyDescent="0.25">
      <c r="A16" s="8" t="s">
        <v>30</v>
      </c>
      <c r="B16" s="9" t="s">
        <v>31</v>
      </c>
      <c r="C16" s="10"/>
      <c r="D16" s="10"/>
      <c r="E16" s="10" t="s">
        <v>94</v>
      </c>
      <c r="F16" s="10" t="s">
        <v>95</v>
      </c>
      <c r="G16" s="8" t="s">
        <v>96</v>
      </c>
      <c r="H16" s="8" t="s">
        <v>97</v>
      </c>
    </row>
    <row r="17" spans="1:8" x14ac:dyDescent="0.25">
      <c r="A17" s="8" t="s">
        <v>30</v>
      </c>
      <c r="B17" s="9" t="s">
        <v>31</v>
      </c>
      <c r="C17" s="10"/>
      <c r="D17" s="10"/>
      <c r="E17" s="10" t="s">
        <v>98</v>
      </c>
      <c r="F17" s="10" t="s">
        <v>99</v>
      </c>
      <c r="G17" s="8" t="s">
        <v>100</v>
      </c>
      <c r="H17" s="8" t="s">
        <v>101</v>
      </c>
    </row>
    <row r="18" spans="1:8" x14ac:dyDescent="0.25">
      <c r="A18" s="8" t="s">
        <v>30</v>
      </c>
      <c r="B18" s="9" t="s">
        <v>31</v>
      </c>
      <c r="C18" s="10"/>
      <c r="D18" s="10"/>
      <c r="E18" s="10"/>
      <c r="F18" s="10" t="s">
        <v>102</v>
      </c>
      <c r="G18" s="8" t="s">
        <v>103</v>
      </c>
      <c r="H18" s="8" t="s">
        <v>104</v>
      </c>
    </row>
  </sheetData>
  <mergeCells count="4">
    <mergeCell ref="A1:H1"/>
    <mergeCell ref="A2:A3"/>
    <mergeCell ref="B2:B3"/>
    <mergeCell ref="C2:H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BU管理</vt:lpstr>
      <vt:lpstr>COGS平滑折線圖-B</vt:lpstr>
      <vt:lpstr>總體數據</vt:lpstr>
      <vt:lpstr>Defective柱狀圖</vt:lpstr>
      <vt:lpstr>Slow moving柱狀圖</vt:lpstr>
      <vt:lpstr>RTV柱狀圖</vt:lpstr>
      <vt:lpstr>In Good折柱混合圖</vt:lpstr>
      <vt:lpstr>Customer柱狀圖</vt:lpstr>
      <vt:lpstr>EOL柱狀圖</vt:lpstr>
      <vt:lpstr>BU庫存</vt:lpstr>
      <vt:lpstr>DOS平滑折線圖-Z</vt:lpstr>
      <vt:lpstr>報表匯總-Z</vt:lpstr>
      <vt:lpstr>需求說明</vt:lpstr>
      <vt:lpstr>Sheet2數據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2021-11-29T06:19:03Z</dcterms:modified>
</cp:coreProperties>
</file>