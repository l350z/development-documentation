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594499\Desktop\EDI\"/>
    </mc:Choice>
  </mc:AlternateContent>
  <bookViews>
    <workbookView xWindow="0" yWindow="0" windowWidth="28800" windowHeight="12300"/>
  </bookViews>
  <sheets>
    <sheet name="專案計劃-P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45" i="1" l="1"/>
  <c r="E4" i="1"/>
  <c r="E3" i="1" s="1"/>
</calcChain>
</file>

<file path=xl/sharedStrings.xml><?xml version="1.0" encoding="utf-8"?>
<sst xmlns="http://schemas.openxmlformats.org/spreadsheetml/2006/main" count="130" uniqueCount="101">
  <si>
    <t>任務項次</t>
    <phoneticPr fontId="2" type="noConversion"/>
  </si>
  <si>
    <t>任務名稱</t>
    <phoneticPr fontId="2" type="noConversion"/>
  </si>
  <si>
    <t>工期
（天）</t>
    <phoneticPr fontId="2" type="noConversion"/>
  </si>
  <si>
    <t>工時
(人天)</t>
    <phoneticPr fontId="2" type="noConversion"/>
  </si>
  <si>
    <t>1-1</t>
    <phoneticPr fontId="2" type="noConversion"/>
  </si>
  <si>
    <t>1-2</t>
  </si>
  <si>
    <t>1-3</t>
    <phoneticPr fontId="2" type="noConversion"/>
  </si>
  <si>
    <t>2</t>
    <phoneticPr fontId="2" type="noConversion"/>
  </si>
  <si>
    <t>2-1</t>
    <phoneticPr fontId="2" type="noConversion"/>
  </si>
  <si>
    <t>3</t>
    <phoneticPr fontId="2" type="noConversion"/>
  </si>
  <si>
    <t>3-1</t>
    <phoneticPr fontId="2" type="noConversion"/>
  </si>
  <si>
    <t>3-1-1</t>
    <phoneticPr fontId="2" type="noConversion"/>
  </si>
  <si>
    <t>3-2</t>
    <phoneticPr fontId="2" type="noConversion"/>
  </si>
  <si>
    <t>4</t>
    <phoneticPr fontId="2" type="noConversion"/>
  </si>
  <si>
    <t>系統測試</t>
    <phoneticPr fontId="2" type="noConversion"/>
  </si>
  <si>
    <t>4-1</t>
    <phoneticPr fontId="2" type="noConversion"/>
  </si>
  <si>
    <t>4-2</t>
    <phoneticPr fontId="2" type="noConversion"/>
  </si>
  <si>
    <t>5</t>
    <phoneticPr fontId="2" type="noConversion"/>
  </si>
  <si>
    <t>系統上線</t>
    <phoneticPr fontId="2" type="noConversion"/>
  </si>
  <si>
    <t>5-1</t>
    <phoneticPr fontId="2" type="noConversion"/>
  </si>
  <si>
    <t>5-2</t>
  </si>
  <si>
    <t>系統正式上線</t>
    <phoneticPr fontId="2" type="noConversion"/>
  </si>
  <si>
    <t>圖例：</t>
    <phoneticPr fontId="2" type="noConversion"/>
  </si>
  <si>
    <t>計畫</t>
    <phoneticPr fontId="2" type="noConversion"/>
  </si>
  <si>
    <t>進行中</t>
    <phoneticPr fontId="2" type="noConversion"/>
  </si>
  <si>
    <t>已完成</t>
    <phoneticPr fontId="2" type="noConversion"/>
  </si>
  <si>
    <t>延遲</t>
    <phoneticPr fontId="2" type="noConversion"/>
  </si>
  <si>
    <t>3-2-3</t>
  </si>
  <si>
    <t>項目開發（第一階段）</t>
    <phoneticPr fontId="2" type="noConversion"/>
  </si>
  <si>
    <t>責任人</t>
    <phoneticPr fontId="2" type="noConversion"/>
  </si>
  <si>
    <t>制定專案開發計畫</t>
    <phoneticPr fontId="2" type="noConversion"/>
  </si>
  <si>
    <t>資料庫設計</t>
    <phoneticPr fontId="2" type="noConversion"/>
  </si>
  <si>
    <t>系統設計</t>
    <phoneticPr fontId="1" type="noConversion"/>
  </si>
  <si>
    <t>3-1-3</t>
  </si>
  <si>
    <t>2-1-2</t>
  </si>
  <si>
    <t>2-1-3</t>
  </si>
  <si>
    <t>2-2</t>
    <phoneticPr fontId="2" type="noConversion"/>
  </si>
  <si>
    <t>節假日</t>
    <phoneticPr fontId="2" type="noConversion"/>
  </si>
  <si>
    <t>3-1-2</t>
  </si>
  <si>
    <t>3-2-1</t>
    <phoneticPr fontId="1" type="noConversion"/>
  </si>
  <si>
    <t>3-2-2</t>
  </si>
  <si>
    <t>客戶數據接收與發送</t>
    <phoneticPr fontId="2" type="noConversion"/>
  </si>
  <si>
    <t>EDI Web開發</t>
    <phoneticPr fontId="2" type="noConversion"/>
  </si>
  <si>
    <t>客戶數據規格確認</t>
    <phoneticPr fontId="2" type="noConversion"/>
  </si>
  <si>
    <t>網站框架搭建</t>
    <phoneticPr fontId="2" type="noConversion"/>
  </si>
  <si>
    <t>客戶數據接收與發送測試</t>
    <phoneticPr fontId="2" type="noConversion"/>
  </si>
  <si>
    <t>EDI Web測試</t>
    <phoneticPr fontId="2" type="noConversion"/>
  </si>
  <si>
    <t>4-1-1</t>
    <phoneticPr fontId="2" type="noConversion"/>
  </si>
  <si>
    <t>4-1-2</t>
  </si>
  <si>
    <t>4-2-1</t>
    <phoneticPr fontId="1" type="noConversion"/>
  </si>
  <si>
    <t>4-2-2</t>
  </si>
  <si>
    <t>整合測試</t>
    <phoneticPr fontId="2" type="noConversion"/>
  </si>
  <si>
    <t>2-1-1</t>
    <phoneticPr fontId="1" type="noConversion"/>
  </si>
  <si>
    <t>2-2-1</t>
    <phoneticPr fontId="1" type="noConversion"/>
  </si>
  <si>
    <t>IT測試</t>
    <phoneticPr fontId="2" type="noConversion"/>
  </si>
  <si>
    <t>用戶測試</t>
    <phoneticPr fontId="1" type="noConversion"/>
  </si>
  <si>
    <t>系統部署</t>
    <phoneticPr fontId="2" type="noConversion"/>
  </si>
  <si>
    <t>韓文仙</t>
  </si>
  <si>
    <t>韓文仙</t>
    <phoneticPr fontId="1" type="noConversion"/>
  </si>
  <si>
    <t>Key Users/韓文仙</t>
    <phoneticPr fontId="2" type="noConversion"/>
  </si>
  <si>
    <r>
      <t>11月</t>
    </r>
    <r>
      <rPr>
        <b/>
        <sz val="10"/>
        <color theme="0"/>
        <rFont val="新細明體"/>
        <family val="2"/>
        <charset val="136"/>
        <scheme val="minor"/>
      </rPr>
      <t/>
    </r>
    <phoneticPr fontId="1" type="noConversion"/>
  </si>
  <si>
    <t>WK44</t>
    <phoneticPr fontId="1" type="noConversion"/>
  </si>
  <si>
    <t>WK45</t>
    <phoneticPr fontId="1" type="noConversion"/>
  </si>
  <si>
    <t>10月</t>
    <phoneticPr fontId="1" type="noConversion"/>
  </si>
  <si>
    <t>WK46</t>
    <phoneticPr fontId="1" type="noConversion"/>
  </si>
  <si>
    <t>WK47</t>
    <phoneticPr fontId="1" type="noConversion"/>
  </si>
  <si>
    <t>WK48</t>
    <phoneticPr fontId="1" type="noConversion"/>
  </si>
  <si>
    <t>韓文仙/李振</t>
  </si>
  <si>
    <t>李振</t>
  </si>
  <si>
    <t>Key Users/李振</t>
  </si>
  <si>
    <t>Key Users/韓文仙/李振</t>
  </si>
  <si>
    <t>W43</t>
    <phoneticPr fontId="1" type="noConversion"/>
  </si>
  <si>
    <t>856-ASN</t>
    <phoneticPr fontId="2" type="noConversion"/>
  </si>
  <si>
    <t>DC spec 分析</t>
    <phoneticPr fontId="2" type="noConversion"/>
  </si>
  <si>
    <t>GXO ASN 封裝</t>
    <phoneticPr fontId="2" type="noConversion"/>
  </si>
  <si>
    <t>CTDI ASN 封裝</t>
    <phoneticPr fontId="2" type="noConversion"/>
  </si>
  <si>
    <t>861 -收貨通知</t>
    <phoneticPr fontId="2" type="noConversion"/>
  </si>
  <si>
    <t>867 -提貨通知</t>
    <phoneticPr fontId="2" type="noConversion"/>
  </si>
  <si>
    <t>GXO 861 解析</t>
    <phoneticPr fontId="2" type="noConversion"/>
  </si>
  <si>
    <t>CTDI 861 解析</t>
    <phoneticPr fontId="2" type="noConversion"/>
  </si>
  <si>
    <t>2-3</t>
    <phoneticPr fontId="2" type="noConversion"/>
  </si>
  <si>
    <t>2-2-2</t>
    <phoneticPr fontId="1" type="noConversion"/>
  </si>
  <si>
    <t>2-2-3</t>
    <phoneticPr fontId="1" type="noConversion"/>
  </si>
  <si>
    <t>2-3-1</t>
    <phoneticPr fontId="1" type="noConversion"/>
  </si>
  <si>
    <t>2-3-2</t>
    <phoneticPr fontId="1" type="noConversion"/>
  </si>
  <si>
    <t>2-3-3</t>
    <phoneticPr fontId="1" type="noConversion"/>
  </si>
  <si>
    <t>2-4</t>
    <phoneticPr fontId="2" type="noConversion"/>
  </si>
  <si>
    <t>2-4-1</t>
    <phoneticPr fontId="1" type="noConversion"/>
  </si>
  <si>
    <t>2-4-2</t>
    <phoneticPr fontId="1" type="noConversion"/>
  </si>
  <si>
    <t>GXO 867 解析</t>
    <phoneticPr fontId="2" type="noConversion"/>
  </si>
  <si>
    <t>CTDI 867 解析</t>
    <phoneticPr fontId="2" type="noConversion"/>
  </si>
  <si>
    <t>2-3-4</t>
    <phoneticPr fontId="1" type="noConversion"/>
  </si>
  <si>
    <t>CTDI 824 封裝</t>
    <phoneticPr fontId="2" type="noConversion"/>
  </si>
  <si>
    <t>DC-FedEx 數據處理</t>
    <phoneticPr fontId="2" type="noConversion"/>
  </si>
  <si>
    <t xml:space="preserve">861_Receive Status Report </t>
  </si>
  <si>
    <t xml:space="preserve">852_Product Activity Data </t>
    <phoneticPr fontId="1" type="noConversion"/>
  </si>
  <si>
    <t>SAP接口對接</t>
    <phoneticPr fontId="1" type="noConversion"/>
  </si>
  <si>
    <t>861 收貨後sap出庫與S&amp;B入庫處理</t>
    <phoneticPr fontId="1" type="noConversion"/>
  </si>
  <si>
    <t>867 拉貨後貨物信息處理</t>
    <phoneticPr fontId="1" type="noConversion"/>
  </si>
  <si>
    <t>852 庫存數據處理</t>
    <phoneticPr fontId="1" type="noConversion"/>
  </si>
  <si>
    <t xml:space="preserve">867&amp;824_Product Transfer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</si>
</sst>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0"/>
      <color theme="1"/>
      <name val="新細明體"/>
      <family val="3"/>
      <charset val="134"/>
      <scheme val="minor"/>
    </font>
    <font>
      <b/>
      <sz val="10"/>
      <color theme="0"/>
      <name val="新細明體"/>
      <family val="3"/>
      <charset val="134"/>
      <scheme val="minor"/>
    </font>
    <font>
      <b/>
      <sz val="12"/>
      <color theme="1"/>
      <name val="新細明體"/>
      <family val="3"/>
      <charset val="134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lightUp"/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/>
    <xf numFmtId="0" fontId="3" fillId="0" borderId="1" xfId="1" applyFont="1" applyFill="1" applyBorder="1" applyAlignment="1">
      <alignment horizontal="center"/>
    </xf>
    <xf numFmtId="176" fontId="5" fillId="6" borderId="1" xfId="1" applyNumberFormat="1" applyFill="1" applyBorder="1"/>
    <xf numFmtId="176" fontId="5" fillId="7" borderId="1" xfId="1" applyNumberFormat="1" applyFill="1" applyBorder="1"/>
    <xf numFmtId="49" fontId="3" fillId="0" borderId="1" xfId="0" applyNumberFormat="1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176" fontId="5" fillId="5" borderId="1" xfId="1" applyNumberFormat="1" applyFill="1" applyBorder="1"/>
    <xf numFmtId="0" fontId="4" fillId="3" borderId="3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1" applyFont="1" applyFill="1" applyBorder="1"/>
    <xf numFmtId="0" fontId="0" fillId="10" borderId="1" xfId="0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76" fontId="5" fillId="12" borderId="1" xfId="1" applyNumberFormat="1" applyFill="1" applyBorder="1"/>
    <xf numFmtId="176" fontId="5" fillId="9" borderId="1" xfId="1" applyNumberFormat="1" applyFill="1" applyBorder="1"/>
  </cellXfs>
  <cellStyles count="2">
    <cellStyle name="一般" xfId="0" builtinId="0"/>
    <cellStyle name="一般_工作表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I30" sqref="I30"/>
    </sheetView>
  </sheetViews>
  <sheetFormatPr defaultColWidth="9" defaultRowHeight="16.5" x14ac:dyDescent="0.25"/>
  <cols>
    <col min="1" max="1" width="12.875" style="1" bestFit="1" customWidth="1"/>
    <col min="2" max="2" width="37.25" style="15" customWidth="1"/>
    <col min="3" max="3" width="18.75" style="1" customWidth="1"/>
    <col min="4" max="4" width="6.75" style="1" bestFit="1" customWidth="1"/>
    <col min="5" max="5" width="11.75" style="1" customWidth="1"/>
    <col min="6" max="6" width="8.25" style="1" customWidth="1"/>
    <col min="7" max="11" width="7.25" style="1" customWidth="1"/>
    <col min="12" max="16384" width="9" style="1"/>
  </cols>
  <sheetData>
    <row r="1" spans="1:11" s="26" customFormat="1" x14ac:dyDescent="0.25">
      <c r="A1" s="47" t="s">
        <v>0</v>
      </c>
      <c r="B1" s="42" t="s">
        <v>1</v>
      </c>
      <c r="C1" s="43" t="s">
        <v>29</v>
      </c>
      <c r="D1" s="48" t="s">
        <v>2</v>
      </c>
      <c r="E1" s="42" t="s">
        <v>3</v>
      </c>
      <c r="F1" s="44" t="s">
        <v>63</v>
      </c>
      <c r="G1" s="45"/>
      <c r="H1" s="41" t="s">
        <v>60</v>
      </c>
      <c r="I1" s="41"/>
      <c r="J1" s="41"/>
      <c r="K1" s="41"/>
    </row>
    <row r="2" spans="1:11" s="26" customFormat="1" x14ac:dyDescent="0.25">
      <c r="A2" s="47"/>
      <c r="B2" s="42"/>
      <c r="C2" s="43"/>
      <c r="D2" s="49"/>
      <c r="E2" s="43"/>
      <c r="F2" s="38" t="s">
        <v>71</v>
      </c>
      <c r="G2" s="35" t="s">
        <v>61</v>
      </c>
      <c r="H2" s="35" t="s">
        <v>62</v>
      </c>
      <c r="I2" s="35" t="s">
        <v>64</v>
      </c>
      <c r="J2" s="35" t="s">
        <v>65</v>
      </c>
      <c r="K2" s="35" t="s">
        <v>66</v>
      </c>
    </row>
    <row r="3" spans="1:11" s="3" customFormat="1" x14ac:dyDescent="0.25">
      <c r="A3" s="46" t="s">
        <v>28</v>
      </c>
      <c r="B3" s="46"/>
      <c r="C3" s="46"/>
      <c r="D3" s="2">
        <f>SUM(D4,D8,D35,D45)</f>
        <v>24</v>
      </c>
      <c r="E3" s="18">
        <f>SUM(E4,E8,E25,E35,E45)</f>
        <v>7</v>
      </c>
      <c r="F3" s="39"/>
      <c r="G3" s="34"/>
      <c r="H3" s="34"/>
      <c r="I3" s="34"/>
      <c r="J3" s="34"/>
      <c r="K3" s="34"/>
    </row>
    <row r="4" spans="1:11" s="3" customFormat="1" x14ac:dyDescent="0.25">
      <c r="A4" s="19">
        <v>1</v>
      </c>
      <c r="B4" s="27" t="s">
        <v>32</v>
      </c>
      <c r="C4" s="21"/>
      <c r="D4" s="22">
        <v>6</v>
      </c>
      <c r="E4" s="22">
        <f>SUM(E5:E7)</f>
        <v>6</v>
      </c>
      <c r="F4" s="40"/>
      <c r="G4" s="36"/>
      <c r="H4" s="36"/>
      <c r="I4" s="36"/>
      <c r="J4" s="36"/>
      <c r="K4" s="36"/>
    </row>
    <row r="5" spans="1:11" s="3" customFormat="1" x14ac:dyDescent="0.25">
      <c r="A5" s="5" t="s">
        <v>4</v>
      </c>
      <c r="B5" s="28" t="s">
        <v>30</v>
      </c>
      <c r="C5" s="7" t="s">
        <v>67</v>
      </c>
      <c r="D5" s="8"/>
      <c r="E5" s="8">
        <v>1</v>
      </c>
      <c r="F5" s="8"/>
      <c r="G5" s="4"/>
      <c r="H5" s="36"/>
      <c r="I5" s="4"/>
      <c r="J5" s="4"/>
      <c r="K5" s="4"/>
    </row>
    <row r="6" spans="1:11" s="3" customFormat="1" x14ac:dyDescent="0.25">
      <c r="A6" s="5" t="s">
        <v>5</v>
      </c>
      <c r="B6" s="28" t="s">
        <v>43</v>
      </c>
      <c r="C6" s="7" t="s">
        <v>67</v>
      </c>
      <c r="D6" s="8"/>
      <c r="E6" s="8">
        <v>2</v>
      </c>
      <c r="F6" s="8"/>
      <c r="G6" s="4"/>
      <c r="H6" s="36"/>
      <c r="I6" s="4"/>
      <c r="J6" s="4"/>
      <c r="K6" s="4"/>
    </row>
    <row r="7" spans="1:11" s="3" customFormat="1" x14ac:dyDescent="0.25">
      <c r="A7" s="5" t="s">
        <v>6</v>
      </c>
      <c r="B7" s="28" t="s">
        <v>31</v>
      </c>
      <c r="C7" s="7" t="s">
        <v>68</v>
      </c>
      <c r="D7" s="8"/>
      <c r="E7" s="8">
        <v>3</v>
      </c>
      <c r="F7" s="8"/>
      <c r="G7" s="4"/>
      <c r="H7" s="36"/>
      <c r="I7" s="4"/>
    </row>
    <row r="8" spans="1:11" s="3" customFormat="1" x14ac:dyDescent="0.25">
      <c r="A8" s="19" t="s">
        <v>7</v>
      </c>
      <c r="B8" s="27" t="s">
        <v>41</v>
      </c>
      <c r="C8" s="21"/>
      <c r="D8" s="22">
        <v>10</v>
      </c>
      <c r="E8" s="22"/>
      <c r="F8" s="22"/>
      <c r="G8" s="22"/>
      <c r="H8" s="22"/>
      <c r="I8" s="22"/>
      <c r="J8" s="22"/>
      <c r="K8" s="22"/>
    </row>
    <row r="9" spans="1:11" s="3" customFormat="1" x14ac:dyDescent="0.25">
      <c r="A9" s="23" t="s">
        <v>8</v>
      </c>
      <c r="B9" s="29" t="s">
        <v>72</v>
      </c>
      <c r="C9" s="24"/>
      <c r="D9" s="25">
        <v>5</v>
      </c>
      <c r="E9" s="25"/>
      <c r="F9" s="25"/>
      <c r="G9" s="25"/>
      <c r="H9" s="25"/>
      <c r="I9" s="25"/>
      <c r="J9" s="25"/>
      <c r="K9" s="25"/>
    </row>
    <row r="10" spans="1:11" s="3" customFormat="1" x14ac:dyDescent="0.25">
      <c r="A10" s="11" t="s">
        <v>52</v>
      </c>
      <c r="B10" s="12" t="s">
        <v>73</v>
      </c>
      <c r="C10" s="7" t="s">
        <v>57</v>
      </c>
      <c r="D10" s="8"/>
      <c r="E10" s="8">
        <v>1</v>
      </c>
      <c r="F10" s="9"/>
      <c r="G10" s="4"/>
      <c r="H10" s="36"/>
      <c r="I10" s="4"/>
      <c r="J10" s="4"/>
      <c r="K10" s="4"/>
    </row>
    <row r="11" spans="1:11" s="3" customFormat="1" x14ac:dyDescent="0.25">
      <c r="A11" s="11" t="s">
        <v>34</v>
      </c>
      <c r="B11" s="12" t="s">
        <v>74</v>
      </c>
      <c r="C11" s="7" t="s">
        <v>57</v>
      </c>
      <c r="D11" s="8"/>
      <c r="E11" s="8">
        <v>2</v>
      </c>
      <c r="F11" s="9"/>
      <c r="G11" s="4"/>
      <c r="H11" s="36"/>
      <c r="I11" s="4"/>
      <c r="J11" s="4"/>
      <c r="K11" s="4"/>
    </row>
    <row r="12" spans="1:11" s="3" customFormat="1" x14ac:dyDescent="0.25">
      <c r="A12" s="11" t="s">
        <v>35</v>
      </c>
      <c r="B12" s="12" t="s">
        <v>75</v>
      </c>
      <c r="C12" s="7" t="s">
        <v>57</v>
      </c>
      <c r="D12" s="8"/>
      <c r="E12" s="8">
        <v>2</v>
      </c>
      <c r="F12" s="9"/>
      <c r="G12" s="4"/>
      <c r="H12" s="36"/>
      <c r="I12" s="4"/>
      <c r="J12" s="4"/>
      <c r="K12" s="4"/>
    </row>
    <row r="13" spans="1:11" s="3" customFormat="1" x14ac:dyDescent="0.25">
      <c r="A13" s="23" t="s">
        <v>36</v>
      </c>
      <c r="B13" s="29" t="s">
        <v>76</v>
      </c>
      <c r="C13" s="24"/>
      <c r="D13" s="25">
        <v>5</v>
      </c>
      <c r="E13" s="25"/>
      <c r="F13" s="25"/>
      <c r="G13" s="25"/>
      <c r="H13" s="25"/>
      <c r="I13" s="25"/>
      <c r="J13" s="25"/>
      <c r="K13" s="25"/>
    </row>
    <row r="14" spans="1:11" s="3" customFormat="1" x14ac:dyDescent="0.25">
      <c r="A14" s="11" t="s">
        <v>53</v>
      </c>
      <c r="B14" s="12" t="s">
        <v>73</v>
      </c>
      <c r="C14" s="4"/>
      <c r="D14" s="4"/>
      <c r="E14" s="8">
        <v>1</v>
      </c>
      <c r="F14" s="4"/>
      <c r="G14" s="10"/>
      <c r="H14" s="4"/>
      <c r="I14" s="4"/>
      <c r="J14" s="4"/>
      <c r="K14" s="4"/>
    </row>
    <row r="15" spans="1:11" s="3" customFormat="1" x14ac:dyDescent="0.25">
      <c r="A15" s="11" t="s">
        <v>81</v>
      </c>
      <c r="B15" s="12" t="s">
        <v>78</v>
      </c>
      <c r="C15" s="7" t="s">
        <v>57</v>
      </c>
      <c r="D15" s="13"/>
      <c r="E15" s="8">
        <v>2</v>
      </c>
      <c r="F15" s="13"/>
      <c r="G15" s="10"/>
      <c r="H15" s="36"/>
      <c r="I15" s="4"/>
      <c r="J15" s="4"/>
      <c r="K15" s="4"/>
    </row>
    <row r="16" spans="1:11" s="3" customFormat="1" x14ac:dyDescent="0.25">
      <c r="A16" s="11" t="s">
        <v>82</v>
      </c>
      <c r="B16" s="12" t="s">
        <v>79</v>
      </c>
      <c r="C16" s="7" t="s">
        <v>57</v>
      </c>
      <c r="D16" s="13"/>
      <c r="E16" s="8">
        <v>2</v>
      </c>
      <c r="F16" s="13"/>
      <c r="G16" s="10"/>
      <c r="H16" s="36"/>
      <c r="I16" s="4"/>
      <c r="J16" s="4"/>
      <c r="K16" s="4"/>
    </row>
    <row r="17" spans="1:11" s="3" customFormat="1" x14ac:dyDescent="0.25">
      <c r="A17" s="23" t="s">
        <v>80</v>
      </c>
      <c r="B17" s="29" t="s">
        <v>77</v>
      </c>
      <c r="C17" s="24"/>
      <c r="D17" s="25">
        <v>6</v>
      </c>
      <c r="E17" s="25"/>
      <c r="F17" s="25"/>
      <c r="G17" s="25"/>
      <c r="H17" s="25"/>
      <c r="I17" s="25"/>
      <c r="J17" s="25"/>
      <c r="K17" s="25"/>
    </row>
    <row r="18" spans="1:11" s="3" customFormat="1" x14ac:dyDescent="0.25">
      <c r="A18" s="11" t="s">
        <v>83</v>
      </c>
      <c r="B18" s="12" t="s">
        <v>73</v>
      </c>
      <c r="C18" s="7" t="s">
        <v>57</v>
      </c>
      <c r="D18" s="8"/>
      <c r="E18" s="8">
        <v>1</v>
      </c>
      <c r="F18" s="8"/>
      <c r="G18" s="4"/>
      <c r="H18" s="10"/>
      <c r="I18" s="4"/>
      <c r="J18" s="4"/>
      <c r="K18" s="4"/>
    </row>
    <row r="19" spans="1:11" s="3" customFormat="1" x14ac:dyDescent="0.25">
      <c r="A19" s="11" t="s">
        <v>84</v>
      </c>
      <c r="B19" s="12" t="s">
        <v>89</v>
      </c>
      <c r="C19" s="7" t="s">
        <v>57</v>
      </c>
      <c r="D19" s="8"/>
      <c r="E19" s="8">
        <v>2</v>
      </c>
      <c r="F19" s="8"/>
      <c r="G19" s="4"/>
      <c r="H19" s="10"/>
      <c r="I19" s="4"/>
      <c r="J19" s="4"/>
      <c r="K19" s="4"/>
    </row>
    <row r="20" spans="1:11" s="3" customFormat="1" x14ac:dyDescent="0.25">
      <c r="A20" s="11" t="s">
        <v>85</v>
      </c>
      <c r="B20" s="12" t="s">
        <v>90</v>
      </c>
      <c r="C20" s="7" t="s">
        <v>57</v>
      </c>
      <c r="D20" s="8"/>
      <c r="E20" s="8">
        <v>2</v>
      </c>
      <c r="F20" s="8"/>
      <c r="G20" s="4"/>
      <c r="H20" s="10"/>
      <c r="I20" s="4"/>
      <c r="J20" s="4"/>
      <c r="K20" s="4"/>
    </row>
    <row r="21" spans="1:11" s="3" customFormat="1" x14ac:dyDescent="0.25">
      <c r="A21" s="11" t="s">
        <v>91</v>
      </c>
      <c r="B21" s="12" t="s">
        <v>92</v>
      </c>
      <c r="C21" s="7" t="s">
        <v>57</v>
      </c>
      <c r="D21" s="8"/>
      <c r="E21" s="8">
        <v>1</v>
      </c>
      <c r="F21" s="8"/>
      <c r="G21" s="4"/>
      <c r="H21" s="10"/>
      <c r="I21" s="4"/>
      <c r="J21" s="4"/>
      <c r="K21" s="4"/>
    </row>
    <row r="22" spans="1:11" s="3" customFormat="1" x14ac:dyDescent="0.25">
      <c r="A22" s="23" t="s">
        <v>86</v>
      </c>
      <c r="B22" s="29" t="s">
        <v>93</v>
      </c>
      <c r="C22" s="24"/>
      <c r="D22" s="25">
        <v>4</v>
      </c>
      <c r="E22" s="25"/>
      <c r="F22" s="25"/>
      <c r="G22" s="25"/>
      <c r="H22" s="25"/>
      <c r="I22" s="25"/>
      <c r="J22" s="25"/>
      <c r="K22" s="25"/>
    </row>
    <row r="23" spans="1:11" s="3" customFormat="1" x14ac:dyDescent="0.25">
      <c r="A23" s="11" t="s">
        <v>87</v>
      </c>
      <c r="B23" s="30">
        <v>856</v>
      </c>
      <c r="C23" s="7" t="s">
        <v>57</v>
      </c>
      <c r="D23" s="13"/>
      <c r="E23" s="13">
        <v>2</v>
      </c>
      <c r="F23" s="13"/>
      <c r="G23" s="13"/>
      <c r="H23" s="36"/>
      <c r="I23" s="10"/>
      <c r="J23" s="4"/>
      <c r="K23" s="4"/>
    </row>
    <row r="24" spans="1:11" s="3" customFormat="1" x14ac:dyDescent="0.25">
      <c r="A24" s="11" t="s">
        <v>88</v>
      </c>
      <c r="B24" s="30">
        <v>867</v>
      </c>
      <c r="C24" s="7" t="s">
        <v>57</v>
      </c>
      <c r="D24" s="13"/>
      <c r="E24" s="13">
        <v>2</v>
      </c>
      <c r="F24" s="13"/>
      <c r="G24" s="13"/>
      <c r="H24" s="36"/>
      <c r="I24" s="10"/>
      <c r="J24" s="4"/>
      <c r="K24" s="4"/>
    </row>
    <row r="25" spans="1:11" s="3" customFormat="1" x14ac:dyDescent="0.25">
      <c r="A25" s="19" t="s">
        <v>9</v>
      </c>
      <c r="B25" s="27" t="s">
        <v>42</v>
      </c>
      <c r="C25" s="21"/>
      <c r="D25" s="22">
        <v>10</v>
      </c>
      <c r="E25" s="22"/>
      <c r="F25" s="22"/>
      <c r="G25" s="22"/>
      <c r="H25" s="22"/>
      <c r="I25" s="22"/>
      <c r="J25" s="22"/>
      <c r="K25" s="22"/>
    </row>
    <row r="26" spans="1:11" s="3" customFormat="1" x14ac:dyDescent="0.25">
      <c r="A26" s="23" t="s">
        <v>10</v>
      </c>
      <c r="B26" s="29" t="s">
        <v>44</v>
      </c>
      <c r="C26" s="24"/>
      <c r="D26" s="25">
        <v>5</v>
      </c>
      <c r="E26" s="25"/>
      <c r="F26" s="25"/>
      <c r="G26" s="25"/>
      <c r="H26" s="25"/>
      <c r="I26" s="25"/>
      <c r="J26" s="25"/>
      <c r="K26" s="25"/>
    </row>
    <row r="27" spans="1:11" s="3" customFormat="1" x14ac:dyDescent="0.25">
      <c r="A27" s="11" t="s">
        <v>11</v>
      </c>
      <c r="B27" s="31" t="s">
        <v>94</v>
      </c>
      <c r="C27" s="32" t="s">
        <v>68</v>
      </c>
      <c r="D27" s="8"/>
      <c r="E27" s="8">
        <v>1</v>
      </c>
      <c r="F27" s="8"/>
      <c r="G27" s="10"/>
      <c r="H27" s="36"/>
      <c r="I27" s="4"/>
      <c r="J27" s="4"/>
      <c r="K27" s="4"/>
    </row>
    <row r="28" spans="1:11" s="3" customFormat="1" x14ac:dyDescent="0.25">
      <c r="A28" s="11" t="s">
        <v>38</v>
      </c>
      <c r="B28" s="28" t="s">
        <v>95</v>
      </c>
      <c r="C28" s="32" t="s">
        <v>68</v>
      </c>
      <c r="D28" s="8"/>
      <c r="E28" s="8">
        <v>2</v>
      </c>
      <c r="F28" s="8"/>
      <c r="G28" s="50"/>
      <c r="H28" s="36"/>
      <c r="I28" s="4"/>
      <c r="J28" s="4"/>
      <c r="K28" s="4"/>
    </row>
    <row r="29" spans="1:11" s="3" customFormat="1" x14ac:dyDescent="0.25">
      <c r="A29" s="11" t="s">
        <v>33</v>
      </c>
      <c r="B29" s="28" t="s">
        <v>100</v>
      </c>
      <c r="C29" s="32" t="s">
        <v>68</v>
      </c>
      <c r="D29" s="8"/>
      <c r="E29" s="8">
        <v>2</v>
      </c>
      <c r="F29" s="8"/>
      <c r="G29" s="10"/>
      <c r="H29" s="36"/>
      <c r="I29" s="4"/>
      <c r="J29" s="4"/>
      <c r="K29" s="4"/>
    </row>
    <row r="30" spans="1:11" s="3" customFormat="1" x14ac:dyDescent="0.25">
      <c r="A30" s="11"/>
      <c r="B30" s="28"/>
      <c r="C30" s="32"/>
      <c r="D30" s="8"/>
      <c r="E30" s="8"/>
      <c r="F30" s="8"/>
      <c r="G30" s="51"/>
      <c r="H30" s="36"/>
      <c r="I30" s="4"/>
      <c r="J30" s="4"/>
      <c r="K30" s="4"/>
    </row>
    <row r="31" spans="1:11" s="3" customFormat="1" x14ac:dyDescent="0.25">
      <c r="A31" s="23" t="s">
        <v>12</v>
      </c>
      <c r="B31" s="29" t="s">
        <v>96</v>
      </c>
      <c r="C31" s="24"/>
      <c r="D31" s="25">
        <v>5</v>
      </c>
      <c r="E31" s="25"/>
      <c r="F31" s="25"/>
      <c r="G31" s="25"/>
      <c r="H31" s="25"/>
      <c r="I31" s="25"/>
      <c r="J31" s="25"/>
      <c r="K31" s="25"/>
    </row>
    <row r="32" spans="1:11" s="3" customFormat="1" x14ac:dyDescent="0.25">
      <c r="A32" s="11" t="s">
        <v>39</v>
      </c>
      <c r="B32" s="28" t="s">
        <v>97</v>
      </c>
      <c r="C32" s="32" t="s">
        <v>68</v>
      </c>
      <c r="D32" s="8"/>
      <c r="E32" s="8">
        <v>1</v>
      </c>
      <c r="F32" s="8"/>
      <c r="G32" s="8"/>
      <c r="H32" s="10"/>
      <c r="I32" s="4"/>
      <c r="J32" s="4"/>
      <c r="K32" s="4"/>
    </row>
    <row r="33" spans="1:11" s="3" customFormat="1" x14ac:dyDescent="0.25">
      <c r="A33" s="11" t="s">
        <v>40</v>
      </c>
      <c r="B33" s="28" t="s">
        <v>98</v>
      </c>
      <c r="C33" s="32" t="s">
        <v>68</v>
      </c>
      <c r="D33" s="8"/>
      <c r="E33" s="8">
        <v>2</v>
      </c>
      <c r="F33" s="8"/>
      <c r="G33" s="8"/>
      <c r="H33" s="10"/>
      <c r="I33" s="4"/>
      <c r="J33" s="4"/>
      <c r="K33" s="4"/>
    </row>
    <row r="34" spans="1:11" s="3" customFormat="1" x14ac:dyDescent="0.25">
      <c r="A34" s="11" t="s">
        <v>27</v>
      </c>
      <c r="B34" s="28" t="s">
        <v>99</v>
      </c>
      <c r="C34" s="32" t="s">
        <v>68</v>
      </c>
      <c r="D34" s="8"/>
      <c r="E34" s="8">
        <v>2</v>
      </c>
      <c r="F34" s="8"/>
      <c r="G34" s="8"/>
      <c r="H34" s="10"/>
      <c r="I34" s="4"/>
      <c r="J34" s="4"/>
      <c r="K34" s="4"/>
    </row>
    <row r="35" spans="1:11" s="3" customFormat="1" x14ac:dyDescent="0.25">
      <c r="A35" s="19" t="s">
        <v>13</v>
      </c>
      <c r="B35" s="27" t="s">
        <v>14</v>
      </c>
      <c r="C35" s="21"/>
      <c r="D35" s="22">
        <v>7</v>
      </c>
      <c r="E35" s="22"/>
      <c r="F35" s="22"/>
      <c r="G35" s="22"/>
      <c r="H35" s="22"/>
      <c r="I35" s="22"/>
      <c r="J35" s="22"/>
      <c r="K35" s="22"/>
    </row>
    <row r="36" spans="1:11" s="3" customFormat="1" x14ac:dyDescent="0.25">
      <c r="A36" s="23" t="s">
        <v>15</v>
      </c>
      <c r="B36" s="29" t="s">
        <v>45</v>
      </c>
      <c r="C36" s="24"/>
      <c r="D36" s="25">
        <v>5</v>
      </c>
      <c r="E36" s="25"/>
      <c r="F36" s="25"/>
      <c r="G36" s="25"/>
      <c r="H36" s="25"/>
      <c r="I36" s="25"/>
      <c r="J36" s="25"/>
      <c r="K36" s="25"/>
    </row>
    <row r="37" spans="1:11" s="3" customFormat="1" x14ac:dyDescent="0.25">
      <c r="A37" s="11" t="s">
        <v>47</v>
      </c>
      <c r="B37" s="31" t="s">
        <v>54</v>
      </c>
      <c r="C37" s="7" t="s">
        <v>58</v>
      </c>
      <c r="D37" s="8"/>
      <c r="E37" s="8">
        <v>3</v>
      </c>
      <c r="F37" s="8"/>
      <c r="G37" s="4"/>
      <c r="H37" s="36"/>
      <c r="I37" s="4"/>
      <c r="J37" s="4"/>
      <c r="K37" s="4"/>
    </row>
    <row r="38" spans="1:11" s="3" customFormat="1" x14ac:dyDescent="0.25">
      <c r="A38" s="11" t="s">
        <v>48</v>
      </c>
      <c r="B38" s="28" t="s">
        <v>55</v>
      </c>
      <c r="C38" s="32" t="s">
        <v>59</v>
      </c>
      <c r="D38" s="8"/>
      <c r="E38" s="8">
        <v>2</v>
      </c>
      <c r="F38" s="8"/>
      <c r="G38" s="4"/>
      <c r="H38" s="36"/>
      <c r="I38" s="10"/>
      <c r="J38" s="4"/>
      <c r="K38" s="4"/>
    </row>
    <row r="39" spans="1:11" s="3" customFormat="1" x14ac:dyDescent="0.25">
      <c r="A39" s="23" t="s">
        <v>16</v>
      </c>
      <c r="B39" s="29" t="s">
        <v>46</v>
      </c>
      <c r="C39" s="24"/>
      <c r="D39" s="25">
        <v>5</v>
      </c>
      <c r="E39" s="25"/>
      <c r="F39" s="25"/>
      <c r="G39" s="25"/>
      <c r="H39" s="25"/>
      <c r="I39" s="25"/>
      <c r="J39" s="25"/>
      <c r="K39" s="25"/>
    </row>
    <row r="40" spans="1:11" s="3" customFormat="1" x14ac:dyDescent="0.25">
      <c r="A40" s="11" t="s">
        <v>49</v>
      </c>
      <c r="B40" s="31" t="s">
        <v>54</v>
      </c>
      <c r="C40" s="32" t="s">
        <v>68</v>
      </c>
      <c r="D40" s="8"/>
      <c r="E40" s="8">
        <v>3</v>
      </c>
      <c r="F40" s="8"/>
      <c r="G40" s="4"/>
      <c r="H40" s="36"/>
      <c r="I40" s="4"/>
      <c r="J40" s="4"/>
      <c r="K40" s="4"/>
    </row>
    <row r="41" spans="1:11" s="3" customFormat="1" x14ac:dyDescent="0.25">
      <c r="A41" s="11" t="s">
        <v>50</v>
      </c>
      <c r="B41" s="28" t="s">
        <v>55</v>
      </c>
      <c r="C41" s="32" t="s">
        <v>69</v>
      </c>
      <c r="D41" s="8"/>
      <c r="E41" s="8">
        <v>2</v>
      </c>
      <c r="F41" s="8"/>
      <c r="G41" s="4"/>
      <c r="H41" s="36"/>
      <c r="I41" s="10"/>
      <c r="J41" s="4"/>
      <c r="K41" s="4"/>
    </row>
    <row r="42" spans="1:11" s="3" customFormat="1" x14ac:dyDescent="0.25">
      <c r="A42" s="23" t="s">
        <v>16</v>
      </c>
      <c r="B42" s="29" t="s">
        <v>51</v>
      </c>
      <c r="C42" s="24"/>
      <c r="D42" s="25">
        <v>2</v>
      </c>
      <c r="E42" s="25"/>
      <c r="F42" s="25"/>
      <c r="G42" s="25"/>
      <c r="H42" s="25"/>
      <c r="I42" s="25"/>
      <c r="J42" s="25"/>
      <c r="K42" s="25"/>
    </row>
    <row r="43" spans="1:11" s="3" customFormat="1" x14ac:dyDescent="0.25">
      <c r="A43" s="11" t="s">
        <v>49</v>
      </c>
      <c r="B43" s="31" t="s">
        <v>54</v>
      </c>
      <c r="C43" s="7" t="s">
        <v>67</v>
      </c>
      <c r="D43" s="8"/>
      <c r="E43" s="8">
        <v>2</v>
      </c>
      <c r="F43" s="8"/>
      <c r="G43" s="4"/>
      <c r="H43" s="36"/>
      <c r="I43" s="4"/>
      <c r="J43" s="4"/>
      <c r="K43" s="4"/>
    </row>
    <row r="44" spans="1:11" s="3" customFormat="1" x14ac:dyDescent="0.25">
      <c r="A44" s="11" t="s">
        <v>50</v>
      </c>
      <c r="B44" s="28" t="s">
        <v>55</v>
      </c>
      <c r="C44" s="32" t="s">
        <v>70</v>
      </c>
      <c r="D44" s="8"/>
      <c r="E44" s="8">
        <v>2</v>
      </c>
      <c r="F44" s="8"/>
      <c r="G44" s="4"/>
      <c r="H44" s="36"/>
      <c r="I44" s="10"/>
      <c r="J44" s="4"/>
      <c r="K44" s="4"/>
    </row>
    <row r="45" spans="1:11" s="3" customFormat="1" x14ac:dyDescent="0.25">
      <c r="A45" s="19" t="s">
        <v>17</v>
      </c>
      <c r="B45" s="20" t="s">
        <v>18</v>
      </c>
      <c r="C45" s="21"/>
      <c r="D45" s="22">
        <v>1</v>
      </c>
      <c r="E45" s="22">
        <f>SUM(E46:E47)</f>
        <v>1</v>
      </c>
      <c r="F45" s="22"/>
      <c r="G45" s="22"/>
      <c r="H45" s="22"/>
      <c r="I45" s="22"/>
      <c r="J45" s="22"/>
      <c r="K45" s="22"/>
    </row>
    <row r="46" spans="1:11" s="3" customFormat="1" x14ac:dyDescent="0.25">
      <c r="A46" s="5" t="s">
        <v>19</v>
      </c>
      <c r="B46" s="28" t="s">
        <v>56</v>
      </c>
      <c r="C46" s="7" t="s">
        <v>67</v>
      </c>
      <c r="D46" s="8"/>
      <c r="E46" s="8">
        <v>1</v>
      </c>
      <c r="F46" s="8"/>
      <c r="G46" s="4"/>
      <c r="H46" s="36"/>
      <c r="I46" s="4"/>
      <c r="J46" s="10"/>
      <c r="K46" s="4"/>
    </row>
    <row r="47" spans="1:11" s="3" customFormat="1" x14ac:dyDescent="0.25">
      <c r="A47" s="5" t="s">
        <v>20</v>
      </c>
      <c r="B47" s="6" t="s">
        <v>21</v>
      </c>
      <c r="C47" s="7"/>
      <c r="D47" s="8"/>
      <c r="E47" s="8">
        <v>0</v>
      </c>
      <c r="F47" s="8"/>
      <c r="G47" s="4"/>
      <c r="H47" s="36"/>
      <c r="I47" s="4"/>
      <c r="J47" s="10"/>
      <c r="K47" s="4"/>
    </row>
    <row r="49" spans="1:2" x14ac:dyDescent="0.25">
      <c r="A49" s="14" t="s">
        <v>22</v>
      </c>
    </row>
    <row r="50" spans="1:2" x14ac:dyDescent="0.25">
      <c r="A50" s="10"/>
      <c r="B50" s="16" t="s">
        <v>23</v>
      </c>
    </row>
    <row r="51" spans="1:2" x14ac:dyDescent="0.25">
      <c r="A51" s="9"/>
      <c r="B51" s="16" t="s">
        <v>24</v>
      </c>
    </row>
    <row r="52" spans="1:2" x14ac:dyDescent="0.25">
      <c r="A52" s="17"/>
      <c r="B52" s="16" t="s">
        <v>25</v>
      </c>
    </row>
    <row r="53" spans="1:2" x14ac:dyDescent="0.25">
      <c r="A53" s="33"/>
      <c r="B53" s="16" t="s">
        <v>26</v>
      </c>
    </row>
    <row r="54" spans="1:2" x14ac:dyDescent="0.25">
      <c r="A54" s="37"/>
      <c r="B54" s="16" t="s">
        <v>37</v>
      </c>
    </row>
  </sheetData>
  <mergeCells count="8">
    <mergeCell ref="H1:K1"/>
    <mergeCell ref="E1:E2"/>
    <mergeCell ref="F1:G1"/>
    <mergeCell ref="A3:C3"/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專案計劃-P1</vt:lpstr>
    </vt:vector>
  </TitlesOfParts>
  <Company>FoxconnIT-Team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song</cp:lastModifiedBy>
  <dcterms:created xsi:type="dcterms:W3CDTF">2021-03-04T06:40:28Z</dcterms:created>
  <dcterms:modified xsi:type="dcterms:W3CDTF">2022-10-24T02:18:05Z</dcterms:modified>
</cp:coreProperties>
</file>